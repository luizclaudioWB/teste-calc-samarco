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comments11.xml" ContentType="application/vnd.openxmlformats-officedocument.spreadsheetml.comments+xml"/>
  <Override PartName="/xl/comments4.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drawing1.xml" ContentType="application/vnd.openxmlformats-officedocument.drawing+xml"/>
  <Override PartName="/xl/drawings/vmlDrawing4.vml" ContentType="application/vnd.openxmlformats-officedocument.vmlDrawing"/>
  <Override PartName="/xl/drawings/vmlDrawing5.vml" ContentType="application/vnd.openxmlformats-officedocument.vmlDrawing"/>
  <Override PartName="/xl/drawings/vmlDrawing6.vml" ContentType="application/vnd.openxmlformats-officedocument.vmlDrawing"/>
  <Override PartName="/xl/drawings/vmlDrawing7.vml" ContentType="application/vnd.openxmlformats-officedocument.vmlDrawing"/>
  <Override PartName="/xl/comments12.xml" ContentType="application/vnd.openxmlformats-officedocument.spreadsheetml.comments+xml"/>
  <Override PartName="/xl/comments2.xml" ContentType="application/vnd.openxmlformats-officedocument.spreadsheetml.comments+xml"/>
  <Override PartName="/xl/sharedStrings.xml" ContentType="application/vnd.openxmlformats-officedocument.spreadsheetml.sharedStrings+xml"/>
  <Override PartName="/xl/worksheets/_rels/sheet15.xml.rels" ContentType="application/vnd.openxmlformats-package.relationships+xml"/>
  <Override PartName="/xl/worksheets/_rels/sheet2.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worksheets/_rels/sheet12.xml.rels" ContentType="application/vnd.openxmlformats-package.relationships+xml"/>
  <Override PartName="/xl/worksheets/_rels/sheet7.xml.rels" ContentType="application/vnd.openxmlformats-package.relationships+xml"/>
  <Override PartName="/xl/worksheets/_rels/sheet11.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styles.xml" ContentType="application/vnd.openxmlformats-officedocument.spreadsheetml.styles+xml"/>
  <Override PartName="/xl/comments15.xml" ContentType="application/vnd.openxmlformats-officedocument.spreadsheetml.comments+xml"/>
  <Override PartName="/xl/comments3.xml" ContentType="application/vnd.openxmlformats-officedocument.spreadsheetml.comments+xml"/>
  <Override PartName="/xl/theme/theme1.xml" ContentType="application/vnd.openxmlformats-officedocument.theme+xml"/>
  <Override PartName="/xl/comments7.xml" ContentType="application/vnd.openxmlformats-officedocument.spreadsheetml.comments+xml"/>
  <Override PartName="/xl/workbook.xml" ContentType="application/vnd.openxmlformats-officedocument.spreadsheetml.sheet.main+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14"/>
  </bookViews>
  <sheets>
    <sheet name="1Tarifas Distribuidoras - INPUT" sheetId="1" state="visible" r:id="rId3"/>
    <sheet name="2Tabela Tarifas Distribuidoras" sheetId="2" state="visible" r:id="rId4"/>
    <sheet name="3Planejamento Produção - INPUT" sheetId="3" state="visible" r:id="rId5"/>
    <sheet name="4Produção - OCULTA" sheetId="4" state="visible" r:id="rId6"/>
    <sheet name="5Plan Consumo Especifico -INPUT" sheetId="5" state="visible" r:id="rId7"/>
    <sheet name="6Consumo Especifico - OCULTA" sheetId="6" state="visible" r:id="rId8"/>
    <sheet name="7Consumo Área - CALC" sheetId="7" state="visible" r:id="rId9"/>
    <sheet name="8Planejamento Geração - INPUT" sheetId="8" state="visible" r:id="rId10"/>
    <sheet name="9Geração Própria - CALC" sheetId="9" state="visible" r:id="rId11"/>
    <sheet name="10Demanda - INPUT" sheetId="10" state="visible" r:id="rId12"/>
    <sheet name="12Encargos ESS EER - CALC" sheetId="11" state="visible" r:id="rId13"/>
    <sheet name="13Distribuição de Carga" sheetId="12" state="visible" r:id="rId14"/>
    <sheet name="14Distrib de Classe de Custo" sheetId="13" state="visible" r:id="rId15"/>
    <sheet name="15Distrib Centro de Custos" sheetId="14" state="visible" r:id="rId16"/>
    <sheet name="16Resumo GERAL" sheetId="15" state="visible" r:id="rId17"/>
    <sheet name="Areas Envolvidas" sheetId="16" state="visible" r:id="rId18"/>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Autor desconhecido</author>
  </authors>
  <commentList>
    <comment ref="C3" authorId="0">
      <text>
        <r>
          <rPr>
            <sz val="10"/>
            <rFont val="Arial"/>
            <family val="2"/>
          </rPr>
          <t xml:space="preserve">Leandro Jordao:
</t>
        </r>
        <r>
          <rPr>
            <sz val="10"/>
            <color rgb="FF000000"/>
            <rFont val="Tahoma"/>
            <family val="2"/>
            <charset val="1"/>
          </rPr>
          <t xml:space="preserve">Pegar os valores de PONTA da ONS. Seperando o contrato de acordo com o inicio e fim de cada contrato</t>
        </r>
      </text>
      <mc:AlternateContent>
        <mc:Choice Requires="v2">
          <commentPr autoFill="true" autoScale="false" colHidden="false" locked="false" rowHidden="false" textHAlign="justify" textVAlign="top">
            <anchor moveWithCells="false" sizeWithCells="false">
              <xdr:from>
                <xdr:col>2</xdr:col>
                <xdr:colOff>101</xdr:colOff>
                <xdr:row>1</xdr:row>
                <xdr:rowOff>6</xdr:rowOff>
              </xdr:from>
              <xdr:to>
                <xdr:col>4</xdr:col>
                <xdr:colOff>22</xdr:colOff>
                <xdr:row>8</xdr:row>
                <xdr:rowOff>6</xdr:rowOff>
              </xdr:to>
            </anchor>
          </commentPr>
        </mc:Choice>
        <mc:Fallback/>
      </mc:AlternateContent>
    </comment>
    <comment ref="C5" authorId="0">
      <text>
        <r>
          <rPr>
            <sz val="10"/>
            <rFont val="Arial"/>
            <family val="2"/>
          </rPr>
          <t xml:space="preserve">Leandro Jordao:
</t>
        </r>
        <r>
          <rPr>
            <sz val="16"/>
            <color rgb="FF000000"/>
            <rFont val="Aptos Narrow"/>
            <family val="0"/>
            <charset val="1"/>
          </rPr>
          <t xml:space="preserve">Essa linha só é preenchida quando a unidade está conectada a rede basica
</t>
        </r>
      </text>
      <mc:AlternateContent>
        <mc:Choice Requires="v2">
          <commentPr autoFill="true" autoScale="false" colHidden="false" locked="false" rowHidden="false" textHAlign="justify" textVAlign="top">
            <anchor moveWithCells="false" sizeWithCells="false">
              <xdr:from>
                <xdr:col>3</xdr:col>
                <xdr:colOff>15</xdr:colOff>
                <xdr:row>3</xdr:row>
                <xdr:rowOff>6</xdr:rowOff>
              </xdr:from>
              <xdr:to>
                <xdr:col>7</xdr:col>
                <xdr:colOff>22</xdr:colOff>
                <xdr:row>12</xdr:row>
                <xdr:rowOff>2</xdr:rowOff>
              </xdr:to>
            </anchor>
          </commentPr>
        </mc:Choice>
        <mc:Fallback/>
      </mc:AlternateContent>
    </comment>
    <comment ref="C6" authorId="0">
      <text>
        <r>
          <rPr>
            <sz val="10"/>
            <rFont val="Arial"/>
            <family val="2"/>
          </rPr>
          <t xml:space="preserve">Leandro Jordao:
</t>
        </r>
        <r>
          <rPr>
            <sz val="10"/>
            <color rgb="FF000000"/>
            <rFont val="Tahoma"/>
            <family val="2"/>
            <charset val="1"/>
          </rPr>
          <t xml:space="preserve">Essa linha só está preenchida por essa unidade receber créditos de geração de energia eletrica de outra unidade
</t>
        </r>
      </text>
      <mc:AlternateContent>
        <mc:Choice Requires="v2">
          <commentPr autoFill="true" autoScale="false" colHidden="false" locked="false" rowHidden="false" textHAlign="justify" textVAlign="top">
            <anchor moveWithCells="false" sizeWithCells="false">
              <xdr:from>
                <xdr:col>3</xdr:col>
                <xdr:colOff>15</xdr:colOff>
                <xdr:row>4</xdr:row>
                <xdr:rowOff>6</xdr:rowOff>
              </xdr:from>
              <xdr:to>
                <xdr:col>5</xdr:col>
                <xdr:colOff>44</xdr:colOff>
                <xdr:row>11</xdr:row>
                <xdr:rowOff>12</xdr:rowOff>
              </xdr:to>
            </anchor>
          </commentPr>
        </mc:Choice>
        <mc:Fallback/>
      </mc:AlternateContent>
    </comment>
    <comment ref="C7" authorId="0">
      <text>
        <r>
          <rPr>
            <sz val="10"/>
            <rFont val="Arial"/>
            <family val="2"/>
          </rPr>
          <t xml:space="preserve">Leandro Jordao:
</t>
        </r>
        <r>
          <rPr>
            <sz val="10"/>
            <color rgb="FF000000"/>
            <rFont val="Tahoma"/>
            <family val="2"/>
            <charset val="1"/>
          </rPr>
          <t xml:space="preserve">Encargo de distribuição só existe para quem está conectado na rede da distribuidora, não na rede basica</t>
        </r>
      </text>
      <mc:AlternateContent>
        <mc:Choice Requires="v2">
          <commentPr autoFill="true" autoScale="false" colHidden="false" locked="false" rowHidden="false" textHAlign="justify" textVAlign="top">
            <anchor moveWithCells="false" sizeWithCells="false">
              <xdr:from>
                <xdr:col>3</xdr:col>
                <xdr:colOff>15</xdr:colOff>
                <xdr:row>5</xdr:row>
                <xdr:rowOff>6</xdr:rowOff>
              </xdr:from>
              <xdr:to>
                <xdr:col>5</xdr:col>
                <xdr:colOff>21</xdr:colOff>
                <xdr:row>11</xdr:row>
                <xdr:rowOff>12</xdr:rowOff>
              </xdr:to>
            </anchor>
          </commentPr>
        </mc:Choice>
        <mc:Fallback/>
      </mc:AlternateContent>
    </comment>
    <comment ref="C8" authorId="0">
      <text>
        <r>
          <rPr>
            <sz val="10"/>
            <rFont val="Arial"/>
            <family val="2"/>
          </rPr>
          <t xml:space="preserve">Leandro Jordao:
</t>
        </r>
        <r>
          <rPr>
            <sz val="10"/>
            <color rgb="FF000000"/>
            <rFont val="Tahoma"/>
            <family val="2"/>
            <charset val="1"/>
          </rPr>
          <t xml:space="preserve">Pegar os valores de PONTA da ONS. Seperando o contrato de acordo com o inicio e fim de cada contrato</t>
        </r>
      </text>
      <mc:AlternateContent>
        <mc:Choice Requires="v2">
          <commentPr autoFill="true" autoScale="false" colHidden="false" locked="false" rowHidden="false" textHAlign="justify" textVAlign="top">
            <anchor moveWithCells="false" sizeWithCells="false">
              <xdr:from>
                <xdr:col>3</xdr:col>
                <xdr:colOff>15</xdr:colOff>
                <xdr:row>6</xdr:row>
                <xdr:rowOff>6</xdr:rowOff>
              </xdr:from>
              <xdr:to>
                <xdr:col>4</xdr:col>
                <xdr:colOff>46</xdr:colOff>
                <xdr:row>13</xdr:row>
                <xdr:rowOff>6</xdr:rowOff>
              </xdr:to>
            </anchor>
          </commentPr>
        </mc:Choice>
        <mc:Fallback/>
      </mc:AlternateContent>
    </comment>
    <comment ref="C10" authorId="0">
      <text>
        <r>
          <rPr>
            <sz val="10"/>
            <rFont val="Arial"/>
            <family val="2"/>
          </rPr>
          <t xml:space="preserve">Leandro Jordao:
</t>
        </r>
        <r>
          <rPr>
            <sz val="16"/>
            <color rgb="FF000000"/>
            <rFont val="Aptos Narrow"/>
            <family val="0"/>
            <charset val="1"/>
          </rPr>
          <t xml:space="preserve">Essa linha só é preenchida quando a unidade está conectada a rede basica
</t>
        </r>
      </text>
      <mc:AlternateContent>
        <mc:Choice Requires="v2">
          <commentPr autoFill="true" autoScale="false" colHidden="false" locked="false" rowHidden="false" textHAlign="justify" textVAlign="top">
            <anchor moveWithCells="false" sizeWithCells="false">
              <xdr:from>
                <xdr:col>3</xdr:col>
                <xdr:colOff>15</xdr:colOff>
                <xdr:row>8</xdr:row>
                <xdr:rowOff>6</xdr:rowOff>
              </xdr:from>
              <xdr:to>
                <xdr:col>7</xdr:col>
                <xdr:colOff>22</xdr:colOff>
                <xdr:row>17</xdr:row>
                <xdr:rowOff>2</xdr:rowOff>
              </xdr:to>
            </anchor>
          </commentPr>
        </mc:Choice>
        <mc:Fallback/>
      </mc:AlternateContent>
    </comment>
    <comment ref="C11" authorId="0">
      <text>
        <r>
          <rPr>
            <sz val="10"/>
            <rFont val="Arial"/>
            <family val="2"/>
          </rPr>
          <t xml:space="preserve">Leandro Jordao:
</t>
        </r>
        <r>
          <rPr>
            <sz val="10"/>
            <color rgb="FF000000"/>
            <rFont val="Tahoma"/>
            <family val="2"/>
            <charset val="1"/>
          </rPr>
          <t xml:space="preserve">Essa linha só está preenchida por essa unidade receber créditos de geração de energia eletrica de outra unidade
</t>
        </r>
      </text>
      <mc:AlternateContent>
        <mc:Choice Requires="v2">
          <commentPr autoFill="true" autoScale="false" colHidden="false" locked="false" rowHidden="false" textHAlign="justify" textVAlign="top">
            <anchor moveWithCells="false" sizeWithCells="false">
              <xdr:from>
                <xdr:col>3</xdr:col>
                <xdr:colOff>15</xdr:colOff>
                <xdr:row>9</xdr:row>
                <xdr:rowOff>6</xdr:rowOff>
              </xdr:from>
              <xdr:to>
                <xdr:col>5</xdr:col>
                <xdr:colOff>44</xdr:colOff>
                <xdr:row>16</xdr:row>
                <xdr:rowOff>12</xdr:rowOff>
              </xdr:to>
            </anchor>
          </commentPr>
        </mc:Choice>
        <mc:Fallback/>
      </mc:AlternateContent>
    </comment>
    <comment ref="C12" authorId="0">
      <text>
        <r>
          <rPr>
            <sz val="10"/>
            <rFont val="Arial"/>
            <family val="2"/>
          </rPr>
          <t xml:space="preserve">Leandro Jordao:
</t>
        </r>
        <r>
          <rPr>
            <sz val="10"/>
            <color rgb="FF000000"/>
            <rFont val="Tahoma"/>
            <family val="2"/>
            <charset val="1"/>
          </rPr>
          <t xml:space="preserve">Encargo de distribuição só existe para quem está conectado na rede da distribuidra
</t>
        </r>
      </text>
      <mc:AlternateContent>
        <mc:Choice Requires="v2">
          <commentPr autoFill="true" autoScale="false" colHidden="false" locked="false" rowHidden="false" textHAlign="justify" textVAlign="top">
            <anchor moveWithCells="false" sizeWithCells="false">
              <xdr:from>
                <xdr:col>3</xdr:col>
                <xdr:colOff>15</xdr:colOff>
                <xdr:row>10</xdr:row>
                <xdr:rowOff>6</xdr:rowOff>
              </xdr:from>
              <xdr:to>
                <xdr:col>5</xdr:col>
                <xdr:colOff>21</xdr:colOff>
                <xdr:row>16</xdr:row>
                <xdr:rowOff>12</xdr:rowOff>
              </xdr:to>
            </anchor>
          </commentPr>
        </mc:Choice>
        <mc:Fallback/>
      </mc:AlternateContent>
    </comment>
    <comment ref="C17" authorId="0">
      <text>
        <r>
          <rPr>
            <sz val="10"/>
            <rFont val="Arial"/>
            <family val="2"/>
          </rPr>
          <t xml:space="preserve">Leandro Jordao:
</t>
        </r>
        <r>
          <rPr>
            <sz val="10"/>
            <color rgb="FF000000"/>
            <rFont val="Tahoma"/>
            <family val="2"/>
            <charset val="1"/>
          </rPr>
          <t xml:space="preserve">Pegar os valores de PONTA da ONS. Seperando o contrato de acordo com o inicio e fim de cada contrato</t>
        </r>
      </text>
      <mc:AlternateContent>
        <mc:Choice Requires="v2">
          <commentPr autoFill="true" autoScale="false" colHidden="false" locked="false" rowHidden="false" textHAlign="justify" textVAlign="top">
            <anchor moveWithCells="false" sizeWithCells="false">
              <xdr:from>
                <xdr:col>3</xdr:col>
                <xdr:colOff>15</xdr:colOff>
                <xdr:row>15</xdr:row>
                <xdr:rowOff>6</xdr:rowOff>
              </xdr:from>
              <xdr:to>
                <xdr:col>4</xdr:col>
                <xdr:colOff>46</xdr:colOff>
                <xdr:row>22</xdr:row>
                <xdr:rowOff>6</xdr:rowOff>
              </xdr:to>
            </anchor>
          </commentPr>
        </mc:Choice>
        <mc:Fallback/>
      </mc:AlternateContent>
    </comment>
    <comment ref="C19" authorId="0">
      <text>
        <r>
          <rPr>
            <sz val="10"/>
            <rFont val="Arial"/>
            <family val="2"/>
          </rPr>
          <t xml:space="preserve">Leandro Jordao:
</t>
        </r>
        <r>
          <rPr>
            <sz val="16"/>
            <color rgb="FF000000"/>
            <rFont val="Aptos Narrow"/>
            <family val="0"/>
            <charset val="1"/>
          </rPr>
          <t xml:space="preserve">Essa linha só é preenchida quando a unidade está conectada a rede basica
</t>
        </r>
      </text>
      <mc:AlternateContent>
        <mc:Choice Requires="v2">
          <commentPr autoFill="true" autoScale="false" colHidden="false" locked="false" rowHidden="false" textHAlign="justify" textVAlign="top">
            <anchor moveWithCells="false" sizeWithCells="false">
              <xdr:from>
                <xdr:col>3</xdr:col>
                <xdr:colOff>15</xdr:colOff>
                <xdr:row>17</xdr:row>
                <xdr:rowOff>6</xdr:rowOff>
              </xdr:from>
              <xdr:to>
                <xdr:col>7</xdr:col>
                <xdr:colOff>22</xdr:colOff>
                <xdr:row>26</xdr:row>
                <xdr:rowOff>2</xdr:rowOff>
              </xdr:to>
            </anchor>
          </commentPr>
        </mc:Choice>
        <mc:Fallback/>
      </mc:AlternateContent>
    </comment>
    <comment ref="C20" authorId="0">
      <text>
        <r>
          <rPr>
            <sz val="10"/>
            <rFont val="Arial"/>
            <family val="2"/>
          </rPr>
          <t xml:space="preserve">Leandro Jordao:
</t>
        </r>
        <r>
          <rPr>
            <sz val="10"/>
            <color rgb="FF000000"/>
            <rFont val="Tahoma"/>
            <family val="2"/>
            <charset val="1"/>
          </rPr>
          <t xml:space="preserve">Essa linha só está preenchida por essa unidade receber créditos de geração de energia eletrica de outra unidade
</t>
        </r>
      </text>
      <mc:AlternateContent>
        <mc:Choice Requires="v2">
          <commentPr autoFill="true" autoScale="false" colHidden="false" locked="false" rowHidden="false" textHAlign="justify" textVAlign="top">
            <anchor moveWithCells="false" sizeWithCells="false">
              <xdr:from>
                <xdr:col>3</xdr:col>
                <xdr:colOff>15</xdr:colOff>
                <xdr:row>18</xdr:row>
                <xdr:rowOff>6</xdr:rowOff>
              </xdr:from>
              <xdr:to>
                <xdr:col>5</xdr:col>
                <xdr:colOff>44</xdr:colOff>
                <xdr:row>25</xdr:row>
                <xdr:rowOff>12</xdr:rowOff>
              </xdr:to>
            </anchor>
          </commentPr>
        </mc:Choice>
        <mc:Fallback/>
      </mc:AlternateContent>
    </comment>
    <comment ref="C21" authorId="0">
      <text>
        <r>
          <rPr>
            <sz val="10"/>
            <rFont val="Arial"/>
            <family val="2"/>
          </rPr>
          <t xml:space="preserve">Leandro Jordao:
</t>
        </r>
        <r>
          <rPr>
            <sz val="10"/>
            <color rgb="FF000000"/>
            <rFont val="Tahoma"/>
            <family val="2"/>
            <charset val="1"/>
          </rPr>
          <t xml:space="preserve">Encargo de distribuição só existe para quem está conectado na rede da distribuidra
</t>
        </r>
      </text>
      <mc:AlternateContent>
        <mc:Choice Requires="v2">
          <commentPr autoFill="true" autoScale="false" colHidden="false" locked="false" rowHidden="false" textHAlign="justify" textVAlign="top">
            <anchor moveWithCells="false" sizeWithCells="false">
              <xdr:from>
                <xdr:col>3</xdr:col>
                <xdr:colOff>15</xdr:colOff>
                <xdr:row>19</xdr:row>
                <xdr:rowOff>6</xdr:rowOff>
              </xdr:from>
              <xdr:to>
                <xdr:col>5</xdr:col>
                <xdr:colOff>21</xdr:colOff>
                <xdr:row>25</xdr:row>
                <xdr:rowOff>12</xdr:rowOff>
              </xdr:to>
            </anchor>
          </commentPr>
        </mc:Choice>
        <mc:Fallback/>
      </mc:AlternateContent>
    </comment>
  </commentList>
</comments>
</file>

<file path=xl/comments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Autor desconhecido</author>
  </authors>
  <commentList>
    <comment ref="A1" authorId="0">
      <text>
        <r>
          <rPr>
            <sz val="10"/>
            <rFont val="Arial"/>
            <family val="2"/>
          </rPr>
          <t xml:space="preserve">Leandro Jordao:
</t>
        </r>
        <r>
          <rPr>
            <sz val="10"/>
            <color rgb="FF000000"/>
            <rFont val="Tahoma"/>
            <family val="2"/>
            <charset val="1"/>
          </rPr>
          <t xml:space="preserve">KTMS = Tonelado por métrica seca</t>
        </r>
      </text>
      <mc:AlternateContent>
        <mc:Choice Requires="v2">
          <commentPr autoFill="true" autoScale="false" colHidden="false" locked="false" rowHidden="false" textHAlign="justify" textVAlign="top">
            <anchor moveWithCells="false" sizeWithCells="false">
              <xdr:from>
                <xdr:col>1</xdr:col>
                <xdr:colOff>15</xdr:colOff>
                <xdr:row>0</xdr:row>
                <xdr:rowOff>1</xdr:rowOff>
              </xdr:from>
              <xdr:to>
                <xdr:col>2</xdr:col>
                <xdr:colOff>54</xdr:colOff>
                <xdr:row>4</xdr:row>
                <xdr:rowOff>5</xdr:rowOff>
              </xdr:to>
            </anchor>
          </commentPr>
        </mc:Choice>
        <mc:Fallback/>
      </mc:AlternateContent>
    </comment>
    <comment ref="B3" authorId="0">
      <text>
        <r>
          <rPr>
            <sz val="10"/>
            <rFont val="Arial"/>
            <family val="2"/>
          </rPr>
          <t xml:space="preserve">Leandro Jordao:
</t>
        </r>
        <r>
          <rPr>
            <sz val="10"/>
            <color rgb="FF000000"/>
            <rFont val="Tahoma"/>
            <family val="2"/>
            <charset val="1"/>
          </rPr>
          <t xml:space="preserve">Informativo : qtde de dias do mês</t>
        </r>
      </text>
      <mc:AlternateContent>
        <mc:Choice Requires="v2">
          <commentPr autoFill="true" autoScale="false" colHidden="false" locked="false" rowHidden="false" textHAlign="justify" textVAlign="top">
            <anchor moveWithCells="false" sizeWithCells="false">
              <xdr:from>
                <xdr:col>2</xdr:col>
                <xdr:colOff>15</xdr:colOff>
                <xdr:row>1</xdr:row>
                <xdr:rowOff>6</xdr:rowOff>
              </xdr:from>
              <xdr:to>
                <xdr:col>3</xdr:col>
                <xdr:colOff>54</xdr:colOff>
                <xdr:row>5</xdr:row>
                <xdr:rowOff>11</xdr:rowOff>
              </xdr:to>
            </anchor>
          </commentPr>
        </mc:Choice>
        <mc:Fallback/>
      </mc:AlternateContent>
    </comment>
  </commentList>
</comments>
</file>

<file path=xl/comments4.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Autor desconhecido</author>
  </authors>
  <commentList>
    <comment ref="A20" authorId="0">
      <text>
        <r>
          <rPr>
            <sz val="10"/>
            <rFont val="Arial"/>
            <family val="2"/>
          </rPr>
          <t xml:space="preserve">Leandro Jordao:
</t>
        </r>
        <r>
          <rPr>
            <sz val="10"/>
            <color rgb="FF000000"/>
            <rFont val="Tahoma"/>
            <family val="2"/>
            <charset val="1"/>
          </rPr>
          <t xml:space="preserve">Colocar como parametro nas configurações do sistema. Ex : Multiplicador da área de produção
</t>
        </r>
      </text>
      <mc:AlternateContent>
        <mc:Choice Requires="v2">
          <commentPr autoFill="true" autoScale="false" colHidden="false" locked="false" rowHidden="false" textHAlign="justify" textVAlign="top">
            <anchor moveWithCells="false" sizeWithCells="false">
              <xdr:from>
                <xdr:col>1</xdr:col>
                <xdr:colOff>14</xdr:colOff>
                <xdr:row>18</xdr:row>
                <xdr:rowOff>6</xdr:rowOff>
              </xdr:from>
              <xdr:to>
                <xdr:col>2</xdr:col>
                <xdr:colOff>53</xdr:colOff>
                <xdr:row>25</xdr:row>
                <xdr:rowOff>9</xdr:rowOff>
              </xdr:to>
            </anchor>
          </commentPr>
        </mc:Choice>
        <mc:Fallback/>
      </mc:AlternateContent>
    </comment>
  </commentList>
</comments>
</file>

<file path=xl/comments7.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Autor desconhecido</author>
  </authors>
  <commentList>
    <comment ref="B4" authorId="0">
      <text>
        <r>
          <rPr>
            <sz val="10"/>
            <rFont val="Arial"/>
            <family val="2"/>
          </rPr>
          <t xml:space="preserve">Leandro Jordao:
</t>
        </r>
        <r>
          <rPr>
            <sz val="10"/>
            <color rgb="FF000000"/>
            <rFont val="Tahoma"/>
            <family val="2"/>
            <charset val="1"/>
          </rPr>
          <t xml:space="preserve">A mineração aqui deve realizar os calculos relacionando os dados de produção das áreas de beneficiamento. Os outros, seguem os cálculos de produção vezes o de consumo de sua propria área</t>
        </r>
      </text>
      <mc:AlternateContent>
        <mc:Choice Requires="v2">
          <commentPr autoFill="true" autoScale="false" colHidden="false" locked="false" rowHidden="false" textHAlign="justify" textVAlign="top">
            <anchor moveWithCells="false" sizeWithCells="false">
              <xdr:from>
                <xdr:col>2</xdr:col>
                <xdr:colOff>15</xdr:colOff>
                <xdr:row>2</xdr:row>
                <xdr:rowOff>11</xdr:rowOff>
              </xdr:from>
              <xdr:to>
                <xdr:col>4</xdr:col>
                <xdr:colOff>94</xdr:colOff>
                <xdr:row>10</xdr:row>
                <xdr:rowOff>16</xdr:rowOff>
              </xdr:to>
            </anchor>
          </commentPr>
        </mc:Choice>
        <mc:Fallback/>
      </mc:AlternateContent>
    </comment>
    <comment ref="B5" authorId="0">
      <text>
        <r>
          <rPr>
            <sz val="10"/>
            <rFont val="Arial"/>
            <family val="2"/>
          </rPr>
          <t xml:space="preserve">Leandro Jordao:
</t>
        </r>
        <r>
          <rPr>
            <sz val="10"/>
            <color rgb="FF000000"/>
            <rFont val="Tahoma"/>
            <family val="2"/>
            <charset val="1"/>
          </rPr>
          <t xml:space="preserve">O beneficiamento 1 não tem valor. Contudo eles usam aqui valores manuais. Então, no planejamento deveremos ter uma maneira de cadastrar alguns valores para algumas areas que não possuem valor. Lembrando que esse valor deve ser cadastrado por ano.</t>
        </r>
      </text>
      <mc:AlternateContent>
        <mc:Choice Requires="v2">
          <commentPr autoFill="true" autoScale="false" colHidden="false" locked="false" rowHidden="false" textHAlign="justify" textVAlign="top">
            <anchor moveWithCells="false" sizeWithCells="false">
              <xdr:from>
                <xdr:col>1</xdr:col>
                <xdr:colOff>81</xdr:colOff>
                <xdr:row>3</xdr:row>
                <xdr:rowOff>6</xdr:rowOff>
              </xdr:from>
              <xdr:to>
                <xdr:col>4</xdr:col>
                <xdr:colOff>5</xdr:colOff>
                <xdr:row>10</xdr:row>
                <xdr:rowOff>4</xdr:rowOff>
              </xdr:to>
            </anchor>
          </commentPr>
        </mc:Choice>
        <mc:Fallback/>
      </mc:AlternateContent>
    </comment>
    <comment ref="B8" authorId="0">
      <text>
        <r>
          <rPr>
            <sz val="10"/>
            <rFont val="Arial"/>
            <family val="2"/>
          </rPr>
          <t xml:space="preserve">Leandro Jordao:
</t>
        </r>
        <r>
          <rPr>
            <sz val="14"/>
            <color rgb="FF000000"/>
            <rFont val="Aptos Narrow"/>
            <family val="0"/>
            <charset val="1"/>
          </rPr>
          <t xml:space="preserve">O beneficiamento 1 não tem valor. Contudo eles usam aqui valores manuais. Então, no planejamento deveremos ter uma maneira de cadastrar alguns valores para algumas areas que não possuem valor. Lembrando que esse valor deve ser cadastrado por ano.
</t>
        </r>
      </text>
      <mc:AlternateContent>
        <mc:Choice Requires="v2">
          <commentPr autoFill="true" autoScale="false" colHidden="false" locked="false" rowHidden="false" textHAlign="justify" textVAlign="top">
            <anchor moveWithCells="false" sizeWithCells="false">
              <xdr:from>
                <xdr:col>1</xdr:col>
                <xdr:colOff>81</xdr:colOff>
                <xdr:row>6</xdr:row>
                <xdr:rowOff>6</xdr:rowOff>
              </xdr:from>
              <xdr:to>
                <xdr:col>6</xdr:col>
                <xdr:colOff>8</xdr:colOff>
                <xdr:row>24</xdr:row>
                <xdr:rowOff>6</xdr:rowOff>
              </xdr:to>
            </anchor>
          </commentPr>
        </mc:Choice>
        <mc:Fallback/>
      </mc:AlternateContent>
    </comment>
  </commentList>
</comments>
</file>

<file path=xl/comments1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Autor desconhecido</author>
  </authors>
  <commentList>
    <comment ref="B2" authorId="0">
      <text>
        <r>
          <rPr>
            <sz val="10"/>
            <rFont val="Arial"/>
            <family val="2"/>
          </rPr>
          <t xml:space="preserve">Leandro Jordao:
</t>
        </r>
        <r>
          <rPr>
            <sz val="10"/>
            <color rgb="FF000000"/>
            <rFont val="Tahoma"/>
            <family val="2"/>
            <charset val="1"/>
          </rPr>
          <t xml:space="preserve">Os valores dessa linha são imputs</t>
        </r>
      </text>
      <mc:AlternateContent>
        <mc:Choice Requires="v2">
          <commentPr autoFill="true" autoScale="false" colHidden="false" locked="false" rowHidden="false" textHAlign="justify" textVAlign="top">
            <anchor moveWithCells="false" sizeWithCells="false">
              <xdr:from>
                <xdr:col>2</xdr:col>
                <xdr:colOff>7</xdr:colOff>
                <xdr:row>0</xdr:row>
                <xdr:rowOff>6</xdr:rowOff>
              </xdr:from>
              <xdr:to>
                <xdr:col>3</xdr:col>
                <xdr:colOff>38</xdr:colOff>
                <xdr:row>4</xdr:row>
                <xdr:rowOff>11</xdr:rowOff>
              </xdr:to>
            </anchor>
          </commentPr>
        </mc:Choice>
        <mc:Fallback/>
      </mc:AlternateContent>
    </comment>
    <comment ref="B3" authorId="0">
      <text>
        <r>
          <rPr>
            <sz val="10"/>
            <rFont val="Arial"/>
            <family val="2"/>
          </rPr>
          <t xml:space="preserve">Leandro Jordao:
</t>
        </r>
        <r>
          <rPr>
            <sz val="10"/>
            <color rgb="FF000000"/>
            <rFont val="Tahoma"/>
            <family val="2"/>
            <charset val="1"/>
          </rPr>
          <t xml:space="preserve">Os valores dessa linha são imputs</t>
        </r>
      </text>
      <mc:AlternateContent>
        <mc:Choice Requires="v2">
          <commentPr autoFill="true" autoScale="false" colHidden="false" locked="false" rowHidden="false" textHAlign="justify" textVAlign="top">
            <anchor moveWithCells="false" sizeWithCells="false">
              <xdr:from>
                <xdr:col>2</xdr:col>
                <xdr:colOff>7</xdr:colOff>
                <xdr:row>1</xdr:row>
                <xdr:rowOff>6</xdr:rowOff>
              </xdr:from>
              <xdr:to>
                <xdr:col>3</xdr:col>
                <xdr:colOff>38</xdr:colOff>
                <xdr:row>5</xdr:row>
                <xdr:rowOff>11</xdr:rowOff>
              </xdr:to>
            </anchor>
          </commentPr>
        </mc:Choice>
        <mc:Fallback/>
      </mc:AlternateContent>
    </comment>
    <comment ref="B7" authorId="0">
      <text>
        <r>
          <rPr>
            <sz val="10"/>
            <rFont val="Arial"/>
            <family val="2"/>
          </rPr>
          <t xml:space="preserve">Leandro Jordao:
</t>
        </r>
        <r>
          <rPr>
            <sz val="10"/>
            <color rgb="FF000000"/>
            <rFont val="Tahoma"/>
            <family val="2"/>
            <charset val="1"/>
          </rPr>
          <t xml:space="preserve">Os valores dessa linha são imputs</t>
        </r>
      </text>
      <mc:AlternateContent>
        <mc:Choice Requires="v2">
          <commentPr autoFill="true" autoScale="false" colHidden="false" locked="false" rowHidden="false" textHAlign="justify" textVAlign="top">
            <anchor moveWithCells="false" sizeWithCells="false">
              <xdr:from>
                <xdr:col>2</xdr:col>
                <xdr:colOff>7</xdr:colOff>
                <xdr:row>5</xdr:row>
                <xdr:rowOff>6</xdr:rowOff>
              </xdr:from>
              <xdr:to>
                <xdr:col>3</xdr:col>
                <xdr:colOff>38</xdr:colOff>
                <xdr:row>9</xdr:row>
                <xdr:rowOff>11</xdr:rowOff>
              </xdr:to>
            </anchor>
          </commentPr>
        </mc:Choice>
        <mc:Fallback/>
      </mc:AlternateContent>
    </comment>
  </commentList>
</comments>
</file>

<file path=xl/comments1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Autor desconhecido</author>
  </authors>
  <commentList>
    <comment ref="B4" authorId="0">
      <text>
        <r>
          <rPr>
            <sz val="10"/>
            <rFont val="Arial"/>
            <family val="2"/>
          </rPr>
          <t xml:space="preserve">Leandro Jordao:
</t>
        </r>
        <r>
          <rPr>
            <sz val="10"/>
            <color rgb="FF000000"/>
            <rFont val="Tahoma"/>
            <family val="2"/>
            <charset val="1"/>
          </rPr>
          <t xml:space="preserve">Esta linha toda é input do usuário
</t>
        </r>
      </text>
      <mc:AlternateContent>
        <mc:Choice Requires="v2">
          <commentPr autoFill="true" autoScale="false" colHidden="false" locked="false" rowHidden="false" textHAlign="justify" textVAlign="top">
            <anchor moveWithCells="false" sizeWithCells="false">
              <xdr:from>
                <xdr:col>2</xdr:col>
                <xdr:colOff>15</xdr:colOff>
                <xdr:row>2</xdr:row>
                <xdr:rowOff>6</xdr:rowOff>
              </xdr:from>
              <xdr:to>
                <xdr:col>3</xdr:col>
                <xdr:colOff>54</xdr:colOff>
                <xdr:row>6</xdr:row>
                <xdr:rowOff>12</xdr:rowOff>
              </xdr:to>
            </anchor>
          </commentPr>
        </mc:Choice>
        <mc:Fallback/>
      </mc:AlternateContent>
    </comment>
    <comment ref="B8" authorId="0">
      <text>
        <r>
          <rPr>
            <sz val="10"/>
            <rFont val="Arial"/>
            <family val="2"/>
          </rPr>
          <t xml:space="preserve">Leandro Jordao:
</t>
        </r>
        <r>
          <rPr>
            <sz val="10"/>
            <color rgb="FF000000"/>
            <rFont val="Tahoma"/>
            <family val="2"/>
            <charset val="1"/>
          </rPr>
          <t xml:space="preserve">Está linha toda é input do usuário
</t>
        </r>
      </text>
      <mc:AlternateContent>
        <mc:Choice Requires="v2">
          <commentPr autoFill="true" autoScale="false" colHidden="false" locked="false" rowHidden="false" textHAlign="justify" textVAlign="top">
            <anchor moveWithCells="false" sizeWithCells="false">
              <xdr:from>
                <xdr:col>2</xdr:col>
                <xdr:colOff>15</xdr:colOff>
                <xdr:row>6</xdr:row>
                <xdr:rowOff>6</xdr:rowOff>
              </xdr:from>
              <xdr:to>
                <xdr:col>3</xdr:col>
                <xdr:colOff>54</xdr:colOff>
                <xdr:row>10</xdr:row>
                <xdr:rowOff>12</xdr:rowOff>
              </xdr:to>
            </anchor>
          </commentPr>
        </mc:Choice>
        <mc:Fallback/>
      </mc:AlternateContent>
    </comment>
    <comment ref="B11" authorId="0">
      <text>
        <r>
          <rPr>
            <sz val="10"/>
            <rFont val="Arial"/>
            <family val="2"/>
          </rPr>
          <t xml:space="preserve">Leandro Jordao:
</t>
        </r>
        <r>
          <rPr>
            <sz val="10"/>
            <color rgb="FF000000"/>
            <rFont val="Tahoma"/>
            <family val="2"/>
            <charset val="1"/>
          </rPr>
          <t xml:space="preserve">Essa linha deve ser input do usuário
</t>
        </r>
      </text>
      <mc:AlternateContent>
        <mc:Choice Requires="v2">
          <commentPr autoFill="true" autoScale="false" colHidden="false" locked="false" rowHidden="false" textHAlign="justify" textVAlign="top">
            <anchor moveWithCells="false" sizeWithCells="false">
              <xdr:from>
                <xdr:col>2</xdr:col>
                <xdr:colOff>15</xdr:colOff>
                <xdr:row>9</xdr:row>
                <xdr:rowOff>6</xdr:rowOff>
              </xdr:from>
              <xdr:to>
                <xdr:col>3</xdr:col>
                <xdr:colOff>54</xdr:colOff>
                <xdr:row>13</xdr:row>
                <xdr:rowOff>12</xdr:rowOff>
              </xdr:to>
            </anchor>
          </commentPr>
        </mc:Choice>
        <mc:Fallback/>
      </mc:AlternateContent>
    </comment>
    <comment ref="B15" authorId="0">
      <text>
        <r>
          <rPr>
            <sz val="10"/>
            <rFont val="Arial"/>
            <family val="2"/>
          </rPr>
          <t xml:space="preserve">Leandro Jordao:
</t>
        </r>
        <r>
          <rPr>
            <sz val="10"/>
            <color rgb="FF000000"/>
            <rFont val="Tahoma"/>
            <family val="2"/>
            <charset val="1"/>
          </rPr>
          <t xml:space="preserve">Esta linha toda é input do usuário
</t>
        </r>
      </text>
      <mc:AlternateContent>
        <mc:Choice Requires="v2">
          <commentPr autoFill="true" autoScale="false" colHidden="false" locked="false" rowHidden="false" textHAlign="justify" textVAlign="top">
            <anchor moveWithCells="false" sizeWithCells="false">
              <xdr:from>
                <xdr:col>2</xdr:col>
                <xdr:colOff>15</xdr:colOff>
                <xdr:row>13</xdr:row>
                <xdr:rowOff>6</xdr:rowOff>
              </xdr:from>
              <xdr:to>
                <xdr:col>3</xdr:col>
                <xdr:colOff>54</xdr:colOff>
                <xdr:row>17</xdr:row>
                <xdr:rowOff>12</xdr:rowOff>
              </xdr:to>
            </anchor>
          </commentPr>
        </mc:Choice>
        <mc:Fallback/>
      </mc:AlternateContent>
    </comment>
    <comment ref="B19" authorId="0">
      <text>
        <r>
          <rPr>
            <sz val="10"/>
            <rFont val="Arial"/>
            <family val="2"/>
          </rPr>
          <t xml:space="preserve">Leandro Jordao:
</t>
        </r>
        <r>
          <rPr>
            <sz val="10"/>
            <color rgb="FF000000"/>
            <rFont val="Tahoma"/>
            <family val="2"/>
            <charset val="1"/>
          </rPr>
          <t xml:space="preserve">Está linha toda é input do usuário
</t>
        </r>
      </text>
      <mc:AlternateContent>
        <mc:Choice Requires="v2">
          <commentPr autoFill="true" autoScale="false" colHidden="false" locked="false" rowHidden="false" textHAlign="justify" textVAlign="top">
            <anchor moveWithCells="false" sizeWithCells="false">
              <xdr:from>
                <xdr:col>2</xdr:col>
                <xdr:colOff>15</xdr:colOff>
                <xdr:row>17</xdr:row>
                <xdr:rowOff>6</xdr:rowOff>
              </xdr:from>
              <xdr:to>
                <xdr:col>3</xdr:col>
                <xdr:colOff>54</xdr:colOff>
                <xdr:row>21</xdr:row>
                <xdr:rowOff>12</xdr:rowOff>
              </xdr:to>
            </anchor>
          </commentPr>
        </mc:Choice>
        <mc:Fallback/>
      </mc:AlternateContent>
    </comment>
    <comment ref="B22" authorId="0">
      <text>
        <r>
          <rPr>
            <sz val="10"/>
            <rFont val="Arial"/>
            <family val="2"/>
          </rPr>
          <t xml:space="preserve">Leandro Jordao:
</t>
        </r>
        <r>
          <rPr>
            <sz val="10"/>
            <color rgb="FF000000"/>
            <rFont val="Tahoma"/>
            <family val="2"/>
            <charset val="1"/>
          </rPr>
          <t xml:space="preserve">Essa linha deve ser input do usuário
</t>
        </r>
      </text>
      <mc:AlternateContent>
        <mc:Choice Requires="v2">
          <commentPr autoFill="true" autoScale="false" colHidden="false" locked="false" rowHidden="false" textHAlign="justify" textVAlign="top">
            <anchor moveWithCells="false" sizeWithCells="false">
              <xdr:from>
                <xdr:col>2</xdr:col>
                <xdr:colOff>15</xdr:colOff>
                <xdr:row>20</xdr:row>
                <xdr:rowOff>6</xdr:rowOff>
              </xdr:from>
              <xdr:to>
                <xdr:col>3</xdr:col>
                <xdr:colOff>54</xdr:colOff>
                <xdr:row>24</xdr:row>
                <xdr:rowOff>12</xdr:rowOff>
              </xdr:to>
            </anchor>
          </commentPr>
        </mc:Choice>
        <mc:Fallback/>
      </mc:AlternateContent>
    </comment>
  </commentList>
</comments>
</file>

<file path=xl/comments15.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Autor desconhecido</author>
  </authors>
  <commentList>
    <comment ref="L15" authorId="0">
      <text>
        <r>
          <rPr>
            <sz val="10"/>
            <rFont val="Arial"/>
            <family val="2"/>
          </rPr>
          <t xml:space="preserve">Henrique Rocha Siqueira:
</t>
        </r>
        <r>
          <rPr>
            <sz val="9"/>
            <color rgb="FF000000"/>
            <rFont val="Segoe UI"/>
            <family val="2"/>
            <charset val="1"/>
          </rPr>
          <t xml:space="preserve">380k garantias financeira CDV</t>
        </r>
      </text>
      <mc:AlternateContent>
        <mc:Choice Requires="v2">
          <commentPr autoFill="true" autoScale="false" colHidden="false" locked="false" rowHidden="false" textHAlign="justify" textVAlign="top">
            <anchor moveWithCells="false" sizeWithCells="false">
              <xdr:from>
                <xdr:col>10</xdr:col>
                <xdr:colOff>21</xdr:colOff>
                <xdr:row>13</xdr:row>
                <xdr:rowOff>6</xdr:rowOff>
              </xdr:from>
              <xdr:to>
                <xdr:col>11</xdr:col>
                <xdr:colOff>41</xdr:colOff>
                <xdr:row>17</xdr:row>
                <xdr:rowOff>8</xdr:rowOff>
              </xdr:to>
            </anchor>
          </commentPr>
        </mc:Choice>
        <mc:Fallback/>
      </mc:AlternateContent>
    </comment>
    <comment ref="O2" authorId="0">
      <text>
        <r>
          <rPr>
            <sz val="10"/>
            <rFont val="Arial"/>
            <family val="2"/>
          </rPr>
          <t xml:space="preserve">Leandro Jordao:
</t>
        </r>
        <r>
          <rPr>
            <sz val="10"/>
            <color rgb="FF000000"/>
            <rFont val="Tahoma"/>
            <family val="2"/>
            <charset val="1"/>
          </rPr>
          <t xml:space="preserve">Ao criar uma revisão, a ideia é mostrar em um dashboard a diferença do planejamento aprovado, com a consequência das alterações realizadas na revisão, vendo visualmente o impacto</t>
        </r>
      </text>
      <mc:AlternateContent>
        <mc:Choice Requires="v2">
          <commentPr autoFill="true" autoScale="false" colHidden="false" locked="false" rowHidden="false" textHAlign="justify" textVAlign="top">
            <anchor moveWithCells="false" sizeWithCells="false">
              <xdr:from>
                <xdr:col>14</xdr:col>
                <xdr:colOff>18</xdr:colOff>
                <xdr:row>0</xdr:row>
                <xdr:rowOff>6</xdr:rowOff>
              </xdr:from>
              <xdr:to>
                <xdr:col>15</xdr:col>
                <xdr:colOff>53</xdr:colOff>
                <xdr:row>6</xdr:row>
                <xdr:rowOff>14</xdr:rowOff>
              </xdr:to>
            </anchor>
          </commentPr>
        </mc:Choice>
        <mc:Fallback/>
      </mc:AlternateContent>
    </comment>
    <comment ref="O19" authorId="0">
      <text>
        <r>
          <rPr>
            <sz val="10"/>
            <rFont val="Arial"/>
            <family val="2"/>
          </rPr>
          <t xml:space="preserve">Leandro Jordao:
</t>
        </r>
        <r>
          <rPr>
            <sz val="10"/>
            <color rgb="FF000000"/>
            <rFont val="Tahoma"/>
            <family val="2"/>
            <charset val="1"/>
          </rPr>
          <t xml:space="preserve">Ao criar uma revisão, a ideia é mostrar em um dashboard a diferença do planejamento aprovado, com a consequência das alterações realizadas na revisão, vendo visualmente o impacto</t>
        </r>
      </text>
      <mc:AlternateContent>
        <mc:Choice Requires="v2">
          <commentPr autoFill="true" autoScale="false" colHidden="false" locked="false" rowHidden="false" textHAlign="justify" textVAlign="top">
            <anchor moveWithCells="false" sizeWithCells="false">
              <xdr:from>
                <xdr:col>14</xdr:col>
                <xdr:colOff>19</xdr:colOff>
                <xdr:row>17</xdr:row>
                <xdr:rowOff>6</xdr:rowOff>
              </xdr:from>
              <xdr:to>
                <xdr:col>15</xdr:col>
                <xdr:colOff>54</xdr:colOff>
                <xdr:row>23</xdr:row>
                <xdr:rowOff>14</xdr:rowOff>
              </xdr:to>
            </anchor>
          </commentPr>
        </mc:Choice>
        <mc:Fallback/>
      </mc:AlternateContent>
    </comment>
    <comment ref="O26" authorId="0">
      <text>
        <r>
          <rPr>
            <sz val="10"/>
            <rFont val="Arial"/>
            <family val="2"/>
          </rPr>
          <t xml:space="preserve">Leandro Jordao:
</t>
        </r>
        <r>
          <rPr>
            <sz val="10"/>
            <color rgb="FF000000"/>
            <rFont val="Tahoma"/>
            <family val="2"/>
            <charset val="1"/>
          </rPr>
          <t xml:space="preserve">Ao criar uma revisão, a ideia é mostrar em um dashboard a diferença do planejamento aprovado, com a consequência das alterações realizadas na revisão, vendo visualmente o impacto</t>
        </r>
      </text>
      <mc:AlternateContent>
        <mc:Choice Requires="v2">
          <commentPr autoFill="true" autoScale="false" colHidden="false" locked="false" rowHidden="false" textHAlign="justify" textVAlign="top">
            <anchor moveWithCells="false" sizeWithCells="false">
              <xdr:from>
                <xdr:col>14</xdr:col>
                <xdr:colOff>63</xdr:colOff>
                <xdr:row>24</xdr:row>
                <xdr:rowOff>6</xdr:rowOff>
              </xdr:from>
              <xdr:to>
                <xdr:col>16</xdr:col>
                <xdr:colOff>33</xdr:colOff>
                <xdr:row>30</xdr:row>
                <xdr:rowOff>14</xdr:rowOff>
              </xdr:to>
            </anchor>
          </commentPr>
        </mc:Choice>
        <mc:Fallback/>
      </mc:AlternateContent>
    </comment>
  </commentList>
</comments>
</file>

<file path=xl/sharedStrings.xml><?xml version="1.0" encoding="utf-8"?>
<sst xmlns="http://schemas.openxmlformats.org/spreadsheetml/2006/main" count="934" uniqueCount="270">
  <si>
    <t xml:space="preserve">Dados Distribuidora</t>
  </si>
  <si>
    <t xml:space="preserve">PONTA</t>
  </si>
  <si>
    <t xml:space="preserve">FORA PONTA</t>
  </si>
  <si>
    <t xml:space="preserve">ENCARGO</t>
  </si>
  <si>
    <t xml:space="preserve">Distribuidora</t>
  </si>
  <si>
    <t xml:space="preserve">Início de Vigência</t>
  </si>
  <si>
    <t xml:space="preserve">Fim de Vigência</t>
  </si>
  <si>
    <t xml:space="preserve">USO DA REDE PONTA</t>
  </si>
  <si>
    <t xml:space="preserve">USO DA REDE F. PONTA</t>
  </si>
  <si>
    <t xml:space="preserve">Encargo Auto Produtor</t>
  </si>
  <si>
    <t xml:space="preserve">Desconto Auto-Produção</t>
  </si>
  <si>
    <t xml:space="preserve">ICMS</t>
  </si>
  <si>
    <t xml:space="preserve">PIS</t>
  </si>
  <si>
    <t xml:space="preserve">COFINS</t>
  </si>
  <si>
    <t xml:space="preserve">PIS/COFINS Faturamento Distribuidora</t>
  </si>
  <si>
    <t xml:space="preserve">Valor Bruto Ponta</t>
  </si>
  <si>
    <t xml:space="preserve">Valor ICMS</t>
  </si>
  <si>
    <t xml:space="preserve">Valor PIS Ponta</t>
  </si>
  <si>
    <t xml:space="preserve">Valor COFINS Ponta</t>
  </si>
  <si>
    <t xml:space="preserve">LIQUIDO SAP</t>
  </si>
  <si>
    <t xml:space="preserve">ONS</t>
  </si>
  <si>
    <t xml:space="preserve">EDP</t>
  </si>
  <si>
    <t xml:space="preserve">ENERGISA</t>
  </si>
  <si>
    <t xml:space="preserve">CALCULO</t>
  </si>
  <si>
    <t xml:space="preserve">Fornecedores de Energia - Mercado Livre</t>
  </si>
  <si>
    <t xml:space="preserve">Fornecedor</t>
  </si>
  <si>
    <t xml:space="preserve">Data Base</t>
  </si>
  <si>
    <t xml:space="preserve">Preço Base</t>
  </si>
  <si>
    <t xml:space="preserve">IPCA Realizado</t>
  </si>
  <si>
    <t xml:space="preserve">IPCA Projetado</t>
  </si>
  <si>
    <t xml:space="preserve">IPCA Total</t>
  </si>
  <si>
    <t xml:space="preserve">Preço</t>
  </si>
  <si>
    <t xml:space="preserve">Montante</t>
  </si>
  <si>
    <t xml:space="preserve">Valor Montante</t>
  </si>
  <si>
    <t xml:space="preserve">Cemig Convencional</t>
  </si>
  <si>
    <t xml:space="preserve">Cemig Incentivada</t>
  </si>
  <si>
    <t xml:space="preserve">Elera</t>
  </si>
  <si>
    <t xml:space="preserve">Matrix</t>
  </si>
  <si>
    <t xml:space="preserve">Considerar que hdaverá um campo para cadastrar o valor do iPCA do mês de faturamento até o final do ano corrente, para projetar o custo do ano seguinte</t>
  </si>
  <si>
    <t xml:space="preserve">Valor de Energia Por Estado</t>
  </si>
  <si>
    <t xml:space="preserve">IPCA</t>
  </si>
  <si>
    <t xml:space="preserve">Valor Bruto</t>
  </si>
  <si>
    <t xml:space="preserve">Valor PIS</t>
  </si>
  <si>
    <t xml:space="preserve">Valor Cofins</t>
  </si>
  <si>
    <t xml:space="preserve">MG</t>
  </si>
  <si>
    <t xml:space="preserve">ES</t>
  </si>
  <si>
    <t xml:space="preserve">Deverá haver cadastro de estados, informando para cada ano, o valor dos impostos de PIS/COFINS e ICMS. Deverá haver cadastro de unidades, e todas as unidades deverão ser cadastradas, incluvise as que geram energia. No cadastro de unidades, deverá indicar se é uma idade de produção de energia ou não. Quando não for uma unidade de produção de energia, deverá indicar se irá receber créditos de geração de energia, e deverá escolher sobre qual unidade receberá esses créditos. No cadastro de unidade, tambem deverá haver indicação se ela está conectada na rede de distribuição ou na rede basica</t>
  </si>
  <si>
    <t xml:space="preserve">Janeiro Pjanejado</t>
  </si>
  <si>
    <t xml:space="preserve">Fevereiro Pjanejado</t>
  </si>
  <si>
    <t xml:space="preserve">Março Pjanejado</t>
  </si>
  <si>
    <t xml:space="preserve">Abril Pjanejado</t>
  </si>
  <si>
    <t xml:space="preserve">Maio Pjanejado</t>
  </si>
  <si>
    <t xml:space="preserve">Junho Pjanejado</t>
  </si>
  <si>
    <t xml:space="preserve">Julho Pjanejado</t>
  </si>
  <si>
    <t xml:space="preserve">Agosto Pjanejado</t>
  </si>
  <si>
    <t xml:space="preserve">Setembro Pjanejado</t>
  </si>
  <si>
    <t xml:space="preserve">Outubro Pjanejado</t>
  </si>
  <si>
    <t xml:space="preserve">Novembro Pjanejado</t>
  </si>
  <si>
    <t xml:space="preserve">Dezembro Pjanejado</t>
  </si>
  <si>
    <t xml:space="preserve">Unidade</t>
  </si>
  <si>
    <t xml:space="preserve">Serviço</t>
  </si>
  <si>
    <t xml:space="preserve">Horário/Encargo</t>
  </si>
  <si>
    <t xml:space="preserve">Centro de Custo</t>
  </si>
  <si>
    <t xml:space="preserve">Germano</t>
  </si>
  <si>
    <t xml:space="preserve">TUSD FIO / DEMANDA </t>
  </si>
  <si>
    <t xml:space="preserve">Ponta</t>
  </si>
  <si>
    <t xml:space="preserve">Fora Ponta</t>
  </si>
  <si>
    <t xml:space="preserve">TUSD ENCARGO</t>
  </si>
  <si>
    <t xml:space="preserve">Encargo Transmis</t>
  </si>
  <si>
    <t xml:space="preserve">Desconto Enc. G.A.</t>
  </si>
  <si>
    <t xml:space="preserve">Encargo Distribuição</t>
  </si>
  <si>
    <t xml:space="preserve">Matipó</t>
  </si>
  <si>
    <t xml:space="preserve">Consumo de Energia</t>
  </si>
  <si>
    <t xml:space="preserve">PMIX</t>
  </si>
  <si>
    <t xml:space="preserve">UBU</t>
  </si>
  <si>
    <t xml:space="preserve">Volumes (ktms) - Planejado</t>
  </si>
  <si>
    <t xml:space="preserve">Jan</t>
  </si>
  <si>
    <t xml:space="preserve">Fev</t>
  </si>
  <si>
    <t xml:space="preserve">Mar</t>
  </si>
  <si>
    <t xml:space="preserve">Abr</t>
  </si>
  <si>
    <t xml:space="preserve">Mai</t>
  </si>
  <si>
    <t xml:space="preserve">Jun</t>
  </si>
  <si>
    <t xml:space="preserve">Jul</t>
  </si>
  <si>
    <t xml:space="preserve">Ago</t>
  </si>
  <si>
    <t xml:space="preserve">Set</t>
  </si>
  <si>
    <t xml:space="preserve">Out</t>
  </si>
  <si>
    <t xml:space="preserve">Nov</t>
  </si>
  <si>
    <t xml:space="preserve">Dez</t>
  </si>
  <si>
    <t xml:space="preserve">Aréa</t>
  </si>
  <si>
    <t xml:space="preserve">M1</t>
  </si>
  <si>
    <t xml:space="preserve">M2</t>
  </si>
  <si>
    <t xml:space="preserve">M3</t>
  </si>
  <si>
    <t xml:space="preserve">M4</t>
  </si>
  <si>
    <t xml:space="preserve">M5</t>
  </si>
  <si>
    <t xml:space="preserve">M6</t>
  </si>
  <si>
    <t xml:space="preserve">M7</t>
  </si>
  <si>
    <t xml:space="preserve">M8</t>
  </si>
  <si>
    <t xml:space="preserve">M9</t>
  </si>
  <si>
    <t xml:space="preserve">M10</t>
  </si>
  <si>
    <t xml:space="preserve">M11</t>
  </si>
  <si>
    <t xml:space="preserve">M12</t>
  </si>
  <si>
    <t xml:space="preserve">Filtragem Germano (Arenoso)</t>
  </si>
  <si>
    <t xml:space="preserve">Beneficiamento Usina 1</t>
  </si>
  <si>
    <t xml:space="preserve">Beneficiamento Usina 2</t>
  </si>
  <si>
    <t xml:space="preserve">Beneficiamento Usina 3</t>
  </si>
  <si>
    <t xml:space="preserve">Mineroduto 1</t>
  </si>
  <si>
    <t xml:space="preserve">Mineroduto 2</t>
  </si>
  <si>
    <t xml:space="preserve">Mineroduto 3</t>
  </si>
  <si>
    <t xml:space="preserve">Preparação 1</t>
  </si>
  <si>
    <t xml:space="preserve">Preparação 2</t>
  </si>
  <si>
    <t xml:space="preserve">Usina 1</t>
  </si>
  <si>
    <t xml:space="preserve">Usina 2</t>
  </si>
  <si>
    <t xml:space="preserve">Usina 3</t>
  </si>
  <si>
    <t xml:space="preserve">Usina 4</t>
  </si>
  <si>
    <t xml:space="preserve">Vendas</t>
  </si>
  <si>
    <t xml:space="preserve">Produção PSC + PSM</t>
  </si>
  <si>
    <t xml:space="preserve">Pellet Feed (embarque)</t>
  </si>
  <si>
    <t xml:space="preserve">Os dados dessa planilha são todos imputados por cada área. Assim, alguém de  área de produção deverá cadastrar todos os dados presentees nessa planilha.</t>
  </si>
  <si>
    <t xml:space="preserve">Produção por mês em tms ( tonelada métrica seca)</t>
  </si>
  <si>
    <t xml:space="preserve">Área</t>
  </si>
  <si>
    <t xml:space="preserve">Multiplicador</t>
  </si>
  <si>
    <t xml:space="preserve">PLANEJADO</t>
  </si>
  <si>
    <t xml:space="preserve">Consumo Específico de Energia Elétrica (kWh/tms)</t>
  </si>
  <si>
    <t xml:space="preserve">Filtragem Germano</t>
  </si>
  <si>
    <t xml:space="preserve">Mineração</t>
  </si>
  <si>
    <t xml:space="preserve">Beneficiamento 1</t>
  </si>
  <si>
    <t xml:space="preserve">Beneficiamento 2</t>
  </si>
  <si>
    <t xml:space="preserve">Beneficiamento 3</t>
  </si>
  <si>
    <t xml:space="preserve">Brumal</t>
  </si>
  <si>
    <t xml:space="preserve">Estocagem</t>
  </si>
  <si>
    <t xml:space="preserve">Os dados dessa planilha são todos imputados por cada área. Assim, alguém de  área de consumo deverá cadastrar todos os dados presentees nessa planilha.</t>
  </si>
  <si>
    <t xml:space="preserve">Consumo planejado por mês</t>
  </si>
  <si>
    <t xml:space="preserve">  11140030   </t>
  </si>
  <si>
    <t xml:space="preserve">11110060</t>
  </si>
  <si>
    <t xml:space="preserve">Mineração 1</t>
  </si>
  <si>
    <t xml:space="preserve">11162040</t>
  </si>
  <si>
    <t xml:space="preserve">12110080</t>
  </si>
  <si>
    <t xml:space="preserve">12420080</t>
  </si>
  <si>
    <t xml:space="preserve">Planejado</t>
  </si>
  <si>
    <t xml:space="preserve">Consumo</t>
  </si>
  <si>
    <t xml:space="preserve">MWh</t>
  </si>
  <si>
    <t xml:space="preserve">Concentração</t>
  </si>
  <si>
    <t xml:space="preserve">Mineroduto</t>
  </si>
  <si>
    <t xml:space="preserve">Preparação</t>
  </si>
  <si>
    <t xml:space="preserve">Pelotização</t>
  </si>
  <si>
    <t xml:space="preserve">Total</t>
  </si>
  <si>
    <t xml:space="preserve">Totais por estado</t>
  </si>
  <si>
    <t xml:space="preserve">Minas Gerais</t>
  </si>
  <si>
    <t xml:space="preserve">Espirito do Santo</t>
  </si>
  <si>
    <t xml:space="preserve">%</t>
  </si>
  <si>
    <t xml:space="preserve">Divisão de Custo</t>
  </si>
  <si>
    <t xml:space="preserve">Mineração </t>
  </si>
  <si>
    <t xml:space="preserve">Geração (MWh) - Planejado</t>
  </si>
  <si>
    <t xml:space="preserve">Guilman Amorim</t>
  </si>
  <si>
    <t xml:space="preserve">Muniz Freire</t>
  </si>
  <si>
    <t xml:space="preserve">Ano Base</t>
  </si>
  <si>
    <t xml:space="preserve">Qtde de Horas Ponta/Dia</t>
  </si>
  <si>
    <t xml:space="preserve">Qtde de Horas no Dia</t>
  </si>
  <si>
    <t xml:space="preserve">Calendário</t>
  </si>
  <si>
    <t xml:space="preserve">Número de dias</t>
  </si>
  <si>
    <t xml:space="preserve">Número de dias não uteis</t>
  </si>
  <si>
    <t xml:space="preserve">Número de dias úteis no mês</t>
  </si>
  <si>
    <t xml:space="preserve">Total de Horas/Ponta</t>
  </si>
  <si>
    <t xml:space="preserve">Total de Horas/Fora Ponta</t>
  </si>
  <si>
    <t xml:space="preserve">Total de Horas no mês</t>
  </si>
  <si>
    <t xml:space="preserve">Geração</t>
  </si>
  <si>
    <t xml:space="preserve">Acumulado Planejado</t>
  </si>
  <si>
    <t xml:space="preserve">UHE Guilman Amorin</t>
  </si>
  <si>
    <t xml:space="preserve">MWmédios</t>
  </si>
  <si>
    <t xml:space="preserve">PCH Muniz Freire</t>
  </si>
  <si>
    <t xml:space="preserve">Horário</t>
  </si>
  <si>
    <t xml:space="preserve">Matipo</t>
  </si>
  <si>
    <t xml:space="preserve">Ubu</t>
  </si>
  <si>
    <t xml:space="preserve">Samarco</t>
  </si>
  <si>
    <t xml:space="preserve">ERR</t>
  </si>
  <si>
    <t xml:space="preserve">R$ / MWh</t>
  </si>
  <si>
    <t xml:space="preserve">ERCAP</t>
  </si>
  <si>
    <t xml:space="preserve">Total ERR/ERCAP</t>
  </si>
  <si>
    <t xml:space="preserve">Consumo Samarco</t>
  </si>
  <si>
    <t xml:space="preserve">Valor Total EER</t>
  </si>
  <si>
    <t xml:space="preserve">R$</t>
  </si>
  <si>
    <t xml:space="preserve">ESS</t>
  </si>
  <si>
    <t xml:space="preserve">Valor Total ESS</t>
  </si>
  <si>
    <t xml:space="preserve">Total por Estado</t>
  </si>
  <si>
    <t xml:space="preserve">Classe Custo</t>
  </si>
  <si>
    <t xml:space="preserve">ERR/ERCAP</t>
  </si>
  <si>
    <t xml:space="preserve">TOTAL</t>
  </si>
  <si>
    <t xml:space="preserve">Distribuição de Carga Por Estado</t>
  </si>
  <si>
    <t xml:space="preserve">Descrição</t>
  </si>
  <si>
    <t xml:space="preserve">Percentual de Perda</t>
  </si>
  <si>
    <t xml:space="preserve">Consumo Energia</t>
  </si>
  <si>
    <t xml:space="preserve">Geração Guilman no Mês</t>
  </si>
  <si>
    <t xml:space="preserve">Perdas</t>
  </si>
  <si>
    <t xml:space="preserve">Proinfa</t>
  </si>
  <si>
    <t xml:space="preserve">Necessidade Total de Energia</t>
  </si>
  <si>
    <t xml:space="preserve">Necessidade de Compra</t>
  </si>
  <si>
    <t xml:space="preserve">Qtde Energia Comprada</t>
  </si>
  <si>
    <t xml:space="preserve">Geração Muniz Freire</t>
  </si>
  <si>
    <t xml:space="preserve">Samarco - Total Geral</t>
  </si>
  <si>
    <t xml:space="preserve">Geração Total do Mês</t>
  </si>
  <si>
    <t xml:space="preserve">Distribuição de Classe de Custo por Estado</t>
  </si>
  <si>
    <t xml:space="preserve">Classe de Custo</t>
  </si>
  <si>
    <t xml:space="preserve">Devoluç. Enc .CDE PROINFA</t>
  </si>
  <si>
    <r>
      <rPr>
        <sz val="8"/>
        <rFont val="Arial"/>
        <family val="2"/>
        <charset val="1"/>
      </rPr>
      <t xml:space="preserve">Uso da Rede 
(TUSD FIO / DEM )
</t>
    </r>
    <r>
      <rPr>
        <b val="true"/>
        <sz val="8"/>
        <rFont val="Arial"/>
        <family val="2"/>
        <charset val="1"/>
      </rPr>
      <t xml:space="preserve">50610003</t>
    </r>
  </si>
  <si>
    <r>
      <rPr>
        <sz val="8"/>
        <rFont val="Arial"/>
        <family val="2"/>
        <charset val="1"/>
      </rPr>
      <t xml:space="preserve">Uso da Rede 
(TUSD ENCARGO )
</t>
    </r>
    <r>
      <rPr>
        <b val="true"/>
        <sz val="8"/>
        <rFont val="Arial"/>
        <family val="2"/>
        <charset val="1"/>
      </rPr>
      <t xml:space="preserve">50610006</t>
    </r>
  </si>
  <si>
    <r>
      <rPr>
        <sz val="8"/>
        <rFont val="Arial"/>
        <family val="2"/>
        <charset val="1"/>
      </rPr>
      <t xml:space="preserve">Consumo de Energia 
</t>
    </r>
    <r>
      <rPr>
        <b val="true"/>
        <sz val="8"/>
        <rFont val="Arial"/>
        <family val="2"/>
        <charset val="1"/>
      </rPr>
      <t xml:space="preserve">50610002</t>
    </r>
  </si>
  <si>
    <t xml:space="preserve">Pmix</t>
  </si>
  <si>
    <t xml:space="preserve">Distribuição de Centro de Custos por Estado</t>
  </si>
  <si>
    <t xml:space="preserve">Tipo</t>
  </si>
  <si>
    <t xml:space="preserve">11140030
FILTRAGEM GERMANO</t>
  </si>
  <si>
    <t xml:space="preserve">Uso de Rede </t>
  </si>
  <si>
    <t xml:space="preserve">50610006 </t>
  </si>
  <si>
    <t xml:space="preserve">Encargo</t>
  </si>
  <si>
    <t xml:space="preserve">11110060
MINERAÇÃO</t>
  </si>
  <si>
    <t xml:space="preserve">11130180
BENEFICIAMENTO 1</t>
  </si>
  <si>
    <t xml:space="preserve">11131180
BENEFICIAMENTO 2</t>
  </si>
  <si>
    <t xml:space="preserve">11132080
BENEFICIAMENTO 3</t>
  </si>
  <si>
    <t xml:space="preserve">11162040
MINERODUTO  1</t>
  </si>
  <si>
    <t xml:space="preserve">11162090
MINERODUTO  2</t>
  </si>
  <si>
    <t xml:space="preserve">11162120
MINERODUTO  3</t>
  </si>
  <si>
    <t xml:space="preserve">Espirito Santo</t>
  </si>
  <si>
    <t xml:space="preserve">12110080
PREPARAÇÃO 1</t>
  </si>
  <si>
    <t xml:space="preserve">12111080
PREPARAÇÃO 2</t>
  </si>
  <si>
    <t xml:space="preserve">12133040
USINA 1</t>
  </si>
  <si>
    <t xml:space="preserve">12135040
USINA 2</t>
  </si>
  <si>
    <t xml:space="preserve">12136040 
USINA 3</t>
  </si>
  <si>
    <t xml:space="preserve">12138040 
USINA 4</t>
  </si>
  <si>
    <t xml:space="preserve">12420080
ESTOC/EMBARQUE</t>
  </si>
  <si>
    <t xml:space="preserve">Total por Estado/Classe de Custo</t>
  </si>
  <si>
    <t xml:space="preserve">Estado</t>
  </si>
  <si>
    <t xml:space="preserve">Total por Classe de Custo</t>
  </si>
  <si>
    <t xml:space="preserve">RESUMO GERAL</t>
  </si>
  <si>
    <t xml:space="preserve">Total Anual Planejado</t>
  </si>
  <si>
    <t xml:space="preserve">EER</t>
  </si>
  <si>
    <t xml:space="preserve">LiqFin_ESS</t>
  </si>
  <si>
    <t xml:space="preserve">50620002 </t>
  </si>
  <si>
    <t xml:space="preserve">Royalties ANEEL</t>
  </si>
  <si>
    <t xml:space="preserve">Serv de Transm de EE </t>
  </si>
  <si>
    <t xml:space="preserve">Serv de Oper de Hidrelétricas</t>
  </si>
  <si>
    <t xml:space="preserve">Outras  despesas Hidreletricas</t>
  </si>
  <si>
    <t xml:space="preserve">O&amp;M Rede Basica</t>
  </si>
  <si>
    <t xml:space="preserve">Outras despesas RB</t>
  </si>
  <si>
    <t xml:space="preserve">Energ. Administr.</t>
  </si>
  <si>
    <t xml:space="preserve">Outros Custos EE</t>
  </si>
  <si>
    <t xml:space="preserve">Total Geral </t>
  </si>
  <si>
    <t xml:space="preserve">Produção</t>
  </si>
  <si>
    <t xml:space="preserve">Produto</t>
  </si>
  <si>
    <t xml:space="preserve">Pelotas</t>
  </si>
  <si>
    <t xml:space="preserve">tms</t>
  </si>
  <si>
    <t xml:space="preserve">PSC + PSM</t>
  </si>
  <si>
    <t xml:space="preserve">Custo Especifico de Energia Elétrica</t>
  </si>
  <si>
    <t xml:space="preserve">Custo Fixo</t>
  </si>
  <si>
    <t xml:space="preserve">R$/tms</t>
  </si>
  <si>
    <t xml:space="preserve">Custo Variável</t>
  </si>
  <si>
    <t xml:space="preserve">Consultoria</t>
  </si>
  <si>
    <t xml:space="preserve">Infra</t>
  </si>
  <si>
    <t xml:space="preserve">UHE Guilman</t>
  </si>
  <si>
    <t xml:space="preserve">Suprimentos</t>
  </si>
  <si>
    <t xml:space="preserve">Manutenção</t>
  </si>
  <si>
    <t xml:space="preserve">Planjemento Integrado</t>
  </si>
  <si>
    <t xml:space="preserve">Tarifas</t>
  </si>
  <si>
    <t xml:space="preserve">X</t>
  </si>
  <si>
    <t xml:space="preserve">Plano de Produção</t>
  </si>
  <si>
    <t xml:space="preserve">Consumo Especifico</t>
  </si>
  <si>
    <t xml:space="preserve">Demanda</t>
  </si>
  <si>
    <t xml:space="preserve">O&amp;M de Muniz Freire</t>
  </si>
  <si>
    <t xml:space="preserve">O&amp;M de Guilman</t>
  </si>
  <si>
    <t xml:space="preserve">Auto Produção</t>
  </si>
  <si>
    <t xml:space="preserve">Despesas com RB</t>
  </si>
  <si>
    <t xml:space="preserve">Outros Custos com EE</t>
  </si>
</sst>
</file>

<file path=xl/styles.xml><?xml version="1.0" encoding="utf-8"?>
<styleSheet xmlns="http://schemas.openxmlformats.org/spreadsheetml/2006/main">
  <numFmts count="17">
    <numFmt numFmtId="164" formatCode="General"/>
    <numFmt numFmtId="165" formatCode="d/m/yyyy"/>
    <numFmt numFmtId="166" formatCode="_-&quot;R$ &quot;* #,##0.00_-;&quot;-R$ &quot;* #,##0.00_-;_-&quot;R$ &quot;* \-??_-;_-@_-"/>
    <numFmt numFmtId="167" formatCode="0.00%"/>
    <numFmt numFmtId="168" formatCode="0.00"/>
    <numFmt numFmtId="169" formatCode="#,##0"/>
    <numFmt numFmtId="170" formatCode="[$-416]mmm\-yy;@"/>
    <numFmt numFmtId="171" formatCode="_-* #,##0.00_-;\-* #,##0.00_-;_-* \-??_-;_-@_-"/>
    <numFmt numFmtId="172" formatCode="#,##0;[RED]#,##0"/>
    <numFmt numFmtId="173" formatCode="mmm/yy"/>
    <numFmt numFmtId="174" formatCode="_-* #,##0.000_-;\-* #,##0.000_-;_-* \-??_-;_-@_-"/>
    <numFmt numFmtId="175" formatCode="_(* #,##0_);_(* \(#,##0\);_(* \-??_);_(@_)"/>
    <numFmt numFmtId="176" formatCode="#,##0.000"/>
    <numFmt numFmtId="177" formatCode="0%"/>
    <numFmt numFmtId="178" formatCode="0"/>
    <numFmt numFmtId="179" formatCode="#,##0.00"/>
    <numFmt numFmtId="180" formatCode="0.0%"/>
  </numFmts>
  <fonts count="42">
    <font>
      <sz val="12"/>
      <color theme="1"/>
      <name val="Aptos Narrow"/>
      <family val="2"/>
      <charset val="1"/>
    </font>
    <font>
      <sz val="10"/>
      <name val="Arial"/>
      <family val="0"/>
    </font>
    <font>
      <sz val="10"/>
      <name val="Arial"/>
      <family val="0"/>
    </font>
    <font>
      <sz val="10"/>
      <name val="Arial"/>
      <family val="0"/>
    </font>
    <font>
      <sz val="10"/>
      <name val="Arial"/>
      <family val="2"/>
      <charset val="1"/>
    </font>
    <font>
      <b val="true"/>
      <sz val="12"/>
      <color theme="1"/>
      <name val="Aptos Narrow"/>
      <family val="2"/>
      <charset val="1"/>
    </font>
    <font>
      <sz val="11"/>
      <name val="Arial"/>
      <family val="2"/>
      <charset val="1"/>
    </font>
    <font>
      <sz val="10"/>
      <name val="Arial"/>
      <family val="2"/>
    </font>
    <font>
      <sz val="10"/>
      <color rgb="FF000000"/>
      <name val="Tahoma"/>
      <family val="2"/>
      <charset val="1"/>
    </font>
    <font>
      <sz val="16"/>
      <color rgb="FF000000"/>
      <name val="Aptos Narrow"/>
      <family val="0"/>
      <charset val="1"/>
    </font>
    <font>
      <b val="true"/>
      <sz val="14"/>
      <color rgb="FFFF0000"/>
      <name val="Calibri"/>
      <family val="2"/>
      <charset val="1"/>
    </font>
    <font>
      <b val="true"/>
      <sz val="12"/>
      <color rgb="FFFFFFFF"/>
      <name val="Arial"/>
      <family val="2"/>
      <charset val="1"/>
    </font>
    <font>
      <b val="true"/>
      <sz val="10"/>
      <color rgb="FFFFFFFF"/>
      <name val="Calibri"/>
      <family val="2"/>
      <charset val="1"/>
    </font>
    <font>
      <sz val="11"/>
      <color rgb="FFFFFFFF"/>
      <name val="Arial"/>
      <family val="2"/>
      <charset val="1"/>
    </font>
    <font>
      <sz val="10"/>
      <name val="Calibri"/>
      <family val="2"/>
      <charset val="1"/>
    </font>
    <font>
      <b val="true"/>
      <sz val="12"/>
      <color rgb="FF000080"/>
      <name val="Calibri"/>
      <family val="2"/>
      <charset val="1"/>
    </font>
    <font>
      <b val="true"/>
      <sz val="10"/>
      <name val="Calibri"/>
      <family val="2"/>
      <charset val="1"/>
    </font>
    <font>
      <sz val="10"/>
      <color theme="0"/>
      <name val="Calibri"/>
      <family val="2"/>
      <charset val="1"/>
    </font>
    <font>
      <sz val="10"/>
      <color rgb="FFFF0000"/>
      <name val="Calibri"/>
      <family val="2"/>
      <charset val="1"/>
    </font>
    <font>
      <sz val="12"/>
      <name val="Aptos Narrow"/>
      <family val="2"/>
      <charset val="1"/>
    </font>
    <font>
      <b val="true"/>
      <sz val="12"/>
      <name val="Arial"/>
      <family val="2"/>
      <charset val="1"/>
    </font>
    <font>
      <b val="true"/>
      <sz val="14"/>
      <color rgb="FFFFFFFF"/>
      <name val="Arial"/>
      <family val="2"/>
      <charset val="1"/>
    </font>
    <font>
      <b val="true"/>
      <sz val="11"/>
      <color rgb="FFFFFF99"/>
      <name val="Arial"/>
      <family val="2"/>
      <charset val="1"/>
    </font>
    <font>
      <sz val="12"/>
      <color rgb="FFFF0000"/>
      <name val="Aptos Narrow"/>
      <family val="2"/>
      <charset val="1"/>
    </font>
    <font>
      <sz val="10"/>
      <color rgb="FFFF0000"/>
      <name val="Arial"/>
      <family val="2"/>
      <charset val="1"/>
    </font>
    <font>
      <sz val="14"/>
      <color rgb="FF000000"/>
      <name val="Aptos Narrow"/>
      <family val="0"/>
      <charset val="1"/>
    </font>
    <font>
      <b val="true"/>
      <sz val="14"/>
      <name val="Calibri"/>
      <family val="2"/>
      <charset val="1"/>
    </font>
    <font>
      <sz val="12"/>
      <name val="Arial"/>
      <family val="2"/>
      <charset val="1"/>
    </font>
    <font>
      <sz val="12"/>
      <color theme="0"/>
      <name val="Aptos Narrow"/>
      <family val="2"/>
      <charset val="1"/>
    </font>
    <font>
      <sz val="12"/>
      <name val="Aptos Narrow"/>
      <family val="0"/>
      <charset val="1"/>
    </font>
    <font>
      <b val="true"/>
      <sz val="11"/>
      <name val="Arial"/>
      <family val="2"/>
      <charset val="1"/>
    </font>
    <font>
      <sz val="14"/>
      <color theme="1"/>
      <name val="Aptos Narrow"/>
      <family val="2"/>
      <charset val="1"/>
    </font>
    <font>
      <b val="true"/>
      <sz val="14"/>
      <name val="Arial"/>
      <family val="2"/>
      <charset val="1"/>
    </font>
    <font>
      <sz val="14"/>
      <name val="Arial"/>
      <family val="2"/>
      <charset val="1"/>
    </font>
    <font>
      <sz val="14"/>
      <color theme="1"/>
      <name val="Arial"/>
      <family val="2"/>
      <charset val="1"/>
    </font>
    <font>
      <sz val="12"/>
      <color rgb="FF000000"/>
      <name val="Aptos Narrow"/>
      <family val="2"/>
      <charset val="1"/>
    </font>
    <font>
      <sz val="8"/>
      <name val="Arial"/>
      <family val="2"/>
      <charset val="1"/>
    </font>
    <font>
      <b val="true"/>
      <sz val="12"/>
      <name val="Aptos Narrow"/>
      <family val="2"/>
      <charset val="1"/>
    </font>
    <font>
      <b val="true"/>
      <sz val="8"/>
      <name val="Arial"/>
      <family val="2"/>
      <charset val="1"/>
    </font>
    <font>
      <b val="true"/>
      <sz val="12"/>
      <color rgb="FF000000"/>
      <name val="Aptos Narrow"/>
      <family val="2"/>
      <charset val="1"/>
    </font>
    <font>
      <b val="true"/>
      <sz val="12"/>
      <color theme="1"/>
      <name val="Aptos Narrow"/>
      <family val="0"/>
      <charset val="1"/>
    </font>
    <font>
      <sz val="9"/>
      <color rgb="FF000000"/>
      <name val="Segoe UI"/>
      <family val="2"/>
      <charset val="1"/>
    </font>
  </fonts>
  <fills count="24">
    <fill>
      <patternFill patternType="none"/>
    </fill>
    <fill>
      <patternFill patternType="gray125"/>
    </fill>
    <fill>
      <patternFill patternType="solid">
        <fgColor theme="3" tint="0.8999"/>
        <bgColor rgb="FFDAE9F8"/>
      </patternFill>
    </fill>
    <fill>
      <patternFill patternType="solid">
        <fgColor theme="5" tint="0.7999"/>
        <bgColor rgb="FFFBE2D5"/>
      </patternFill>
    </fill>
    <fill>
      <patternFill patternType="solid">
        <fgColor theme="6" tint="0.7999"/>
        <bgColor rgb="FFB4E5A2"/>
      </patternFill>
    </fill>
    <fill>
      <patternFill patternType="solid">
        <fgColor theme="8" tint="0.7999"/>
        <bgColor rgb="FFFBE2D5"/>
      </patternFill>
    </fill>
    <fill>
      <patternFill patternType="solid">
        <fgColor rgb="FFFFFF00"/>
        <bgColor rgb="FFFFFF00"/>
      </patternFill>
    </fill>
    <fill>
      <patternFill patternType="solid">
        <fgColor theme="3" tint="0.4999"/>
        <bgColor rgb="FF3366FF"/>
      </patternFill>
    </fill>
    <fill>
      <patternFill patternType="solid">
        <fgColor theme="2" tint="-0.1"/>
        <bgColor rgb="FFCCCCFF"/>
      </patternFill>
    </fill>
    <fill>
      <patternFill patternType="solid">
        <fgColor theme="9" tint="0.5999"/>
        <bgColor rgb="FFC2F1C8"/>
      </patternFill>
    </fill>
    <fill>
      <patternFill patternType="solid">
        <fgColor theme="4" tint="0.7999"/>
        <bgColor rgb="FFDAE9F8"/>
      </patternFill>
    </fill>
    <fill>
      <patternFill patternType="solid">
        <fgColor rgb="FF333399"/>
        <bgColor rgb="FF003366"/>
      </patternFill>
    </fill>
    <fill>
      <patternFill patternType="solid">
        <fgColor rgb="FFC0C0C0"/>
        <bgColor rgb="FFD1D1D1"/>
      </patternFill>
    </fill>
    <fill>
      <patternFill patternType="solid">
        <fgColor rgb="FFCCCCFF"/>
        <bgColor rgb="FFD1D1D1"/>
      </patternFill>
    </fill>
    <fill>
      <patternFill patternType="solid">
        <fgColor theme="0" tint="-0.5"/>
        <bgColor rgb="FF666699"/>
      </patternFill>
    </fill>
    <fill>
      <patternFill patternType="solid">
        <fgColor theme="8" tint="0.5999"/>
        <bgColor rgb="FFC0C0C0"/>
      </patternFill>
    </fill>
    <fill>
      <patternFill patternType="solid">
        <fgColor rgb="FF008080"/>
        <bgColor rgb="FF156082"/>
      </patternFill>
    </fill>
    <fill>
      <patternFill patternType="solid">
        <fgColor rgb="FFFFFF99"/>
        <bgColor rgb="FFFBE3D6"/>
      </patternFill>
    </fill>
    <fill>
      <patternFill patternType="solid">
        <fgColor theme="4" tint="0.5999"/>
        <bgColor rgb="FFC0C0C0"/>
      </patternFill>
    </fill>
    <fill>
      <patternFill patternType="solid">
        <fgColor theme="8" tint="0.3999"/>
        <bgColor rgb="FFE59EDD"/>
      </patternFill>
    </fill>
    <fill>
      <patternFill patternType="solid">
        <fgColor rgb="FFFF0000"/>
        <bgColor rgb="FF993300"/>
      </patternFill>
    </fill>
    <fill>
      <patternFill patternType="solid">
        <fgColor theme="4"/>
        <bgColor rgb="FF008080"/>
      </patternFill>
    </fill>
    <fill>
      <patternFill patternType="solid">
        <fgColor rgb="FFDAE9F8"/>
        <bgColor rgb="FFDCEAF7"/>
      </patternFill>
    </fill>
    <fill>
      <patternFill patternType="solid">
        <fgColor rgb="FFFBE2D5"/>
        <bgColor rgb="FFFBE3D6"/>
      </patternFill>
    </fill>
  </fills>
  <borders count="17">
    <border diagonalUp="false" diagonalDown="false">
      <left/>
      <right/>
      <top/>
      <bottom/>
      <diagonal/>
    </border>
    <border diagonalUp="false" diagonalDown="false">
      <left style="thin"/>
      <right style="thin"/>
      <top style="thin"/>
      <bottom style="thin"/>
      <diagonal/>
    </border>
    <border diagonalUp="false" diagonalDown="false">
      <left/>
      <right/>
      <top style="thin"/>
      <bottom/>
      <diagonal/>
    </border>
    <border diagonalUp="false" diagonalDown="false">
      <left style="thin"/>
      <right/>
      <top style="thin"/>
      <bottom style="thin"/>
      <diagonal/>
    </border>
    <border diagonalUp="false" diagonalDown="false">
      <left style="thin"/>
      <right style="thin"/>
      <top style="thin"/>
      <bottom/>
      <diagonal/>
    </border>
    <border diagonalUp="false" diagonalDown="false">
      <left/>
      <right/>
      <top style="thin"/>
      <bottom style="thin"/>
      <diagonal/>
    </border>
    <border diagonalUp="false" diagonalDown="false">
      <left style="hair"/>
      <right/>
      <top/>
      <bottom style="hair"/>
      <diagonal/>
    </border>
    <border diagonalUp="false" diagonalDown="false">
      <left style="hair"/>
      <right style="hair"/>
      <top style="hair"/>
      <bottom/>
      <diagonal/>
    </border>
    <border diagonalUp="false" diagonalDown="false">
      <left/>
      <right/>
      <top style="hair"/>
      <bottom style="hair"/>
      <diagonal/>
    </border>
    <border diagonalUp="false" diagonalDown="false">
      <left style="hair"/>
      <right style="hair"/>
      <top style="hair"/>
      <bottom style="hair"/>
      <diagonal/>
    </border>
    <border diagonalUp="false" diagonalDown="false">
      <left style="medium"/>
      <right/>
      <top style="hair"/>
      <bottom style="hair"/>
      <diagonal/>
    </border>
    <border diagonalUp="false" diagonalDown="false">
      <left/>
      <right style="thin"/>
      <top style="thin"/>
      <bottom style="thin"/>
      <diagonal/>
    </border>
    <border diagonalUp="false" diagonalDown="false">
      <left style="thin"/>
      <right/>
      <top/>
      <bottom style="thin"/>
      <diagonal/>
    </border>
    <border diagonalUp="false" diagonalDown="false">
      <left/>
      <right/>
      <top/>
      <bottom style="thin"/>
      <diagonal/>
    </border>
    <border diagonalUp="false" diagonalDown="false">
      <left style="thin"/>
      <right style="thin"/>
      <top/>
      <bottom style="thin"/>
      <diagonal/>
    </border>
    <border diagonalUp="false" diagonalDown="false">
      <left/>
      <right style="thin"/>
      <top/>
      <bottom style="thin"/>
      <diagonal/>
    </border>
    <border diagonalUp="false" diagonalDown="false">
      <left style="thin"/>
      <right style="thin"/>
      <top/>
      <bottom/>
      <diagonal/>
    </border>
  </borders>
  <cellStyleXfs count="25">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71"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166" fontId="0" fillId="0" borderId="0" applyFont="true" applyBorder="false" applyAlignment="true" applyProtection="false">
      <alignment horizontal="general" vertical="bottom" textRotation="0" wrapText="false" indent="0" shrinkToFit="false"/>
    </xf>
    <xf numFmtId="42" fontId="1" fillId="0" borderId="0" applyFont="true" applyBorder="false" applyAlignment="false" applyProtection="false"/>
    <xf numFmtId="177" fontId="0" fillId="0" borderId="0" applyFont="true" applyBorder="fals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cellStyleXfs>
  <cellXfs count="145">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center" vertical="bottom" textRotation="0" wrapText="false" indent="0" shrinkToFit="false"/>
      <protection locked="true" hidden="false"/>
    </xf>
    <xf numFmtId="164" fontId="5" fillId="2" borderId="1" xfId="0" applyFont="true" applyBorder="true" applyAlignment="true" applyProtection="false">
      <alignment horizontal="general" vertical="bottom" textRotation="0" wrapText="false" indent="0" shrinkToFit="false"/>
      <protection locked="true" hidden="false"/>
    </xf>
    <xf numFmtId="164" fontId="0" fillId="3" borderId="1" xfId="0" applyFont="true" applyBorder="true" applyAlignment="true" applyProtection="false">
      <alignment horizontal="center" vertical="bottom" textRotation="0" wrapText="false" indent="0" shrinkToFit="false"/>
      <protection locked="true" hidden="false"/>
    </xf>
    <xf numFmtId="164" fontId="0" fillId="4" borderId="1" xfId="0" applyFont="true" applyBorder="true" applyAlignment="true" applyProtection="false">
      <alignment horizontal="center" vertical="bottom" textRotation="0" wrapText="false" indent="0" shrinkToFit="false"/>
      <protection locked="true" hidden="false"/>
    </xf>
    <xf numFmtId="164" fontId="0" fillId="5" borderId="1" xfId="0" applyFont="true" applyBorder="true" applyAlignment="true" applyProtection="false">
      <alignment horizontal="center" vertical="bottom" textRotation="0" wrapText="false" indent="0" shrinkToFit="false"/>
      <protection locked="true" hidden="false"/>
    </xf>
    <xf numFmtId="164" fontId="5" fillId="2" borderId="1" xfId="0" applyFont="true" applyBorder="true" applyAlignment="false" applyProtection="false">
      <alignment horizontal="general" vertical="bottom" textRotation="0" wrapText="false" indent="0" shrinkToFit="false"/>
      <protection locked="true" hidden="false"/>
    </xf>
    <xf numFmtId="164" fontId="5" fillId="6" borderId="1" xfId="0" applyFont="true" applyBorder="true" applyAlignment="false" applyProtection="false">
      <alignment horizontal="general" vertical="bottom" textRotation="0" wrapText="false" indent="0" shrinkToFit="false"/>
      <protection locked="true" hidden="false"/>
    </xf>
    <xf numFmtId="164" fontId="5" fillId="3" borderId="1" xfId="0" applyFont="true" applyBorder="true" applyAlignment="false" applyProtection="false">
      <alignment horizontal="general" vertical="bottom" textRotation="0" wrapText="false" indent="0" shrinkToFit="false"/>
      <protection locked="true" hidden="false"/>
    </xf>
    <xf numFmtId="164" fontId="5" fillId="4" borderId="1" xfId="0" applyFont="true" applyBorder="true" applyAlignment="false" applyProtection="false">
      <alignment horizontal="general" vertical="bottom" textRotation="0" wrapText="false" indent="0" shrinkToFit="false"/>
      <protection locked="true" hidden="false"/>
    </xf>
    <xf numFmtId="164" fontId="5" fillId="5"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2" borderId="1" xfId="0" applyFont="true" applyBorder="true" applyAlignment="false" applyProtection="false">
      <alignment horizontal="general" vertical="bottom" textRotation="0" wrapText="false" indent="0" shrinkToFit="false"/>
      <protection locked="true" hidden="false"/>
    </xf>
    <xf numFmtId="165" fontId="0" fillId="6" borderId="1" xfId="0" applyFont="false" applyBorder="true" applyAlignment="false" applyProtection="false">
      <alignment horizontal="general" vertical="bottom" textRotation="0" wrapText="false" indent="0" shrinkToFit="false"/>
      <protection locked="true" hidden="false"/>
    </xf>
    <xf numFmtId="166" fontId="0" fillId="6" borderId="1" xfId="17" applyFont="true" applyBorder="true" applyAlignment="true" applyProtection="true">
      <alignment horizontal="general" vertical="bottom" textRotation="0" wrapText="false" indent="0" shrinkToFit="false"/>
      <protection locked="true" hidden="false"/>
    </xf>
    <xf numFmtId="167" fontId="0" fillId="2" borderId="1" xfId="0" applyFont="false" applyBorder="true" applyAlignment="false" applyProtection="false">
      <alignment horizontal="general" vertical="bottom" textRotation="0" wrapText="false" indent="0" shrinkToFit="false"/>
      <protection locked="true" hidden="false"/>
    </xf>
    <xf numFmtId="168" fontId="0" fillId="3" borderId="1" xfId="0" applyFont="false" applyBorder="true" applyAlignment="false" applyProtection="false">
      <alignment horizontal="general" vertical="bottom" textRotation="0" wrapText="false" indent="0" shrinkToFit="false"/>
      <protection locked="true" hidden="false"/>
    </xf>
    <xf numFmtId="168" fontId="0" fillId="4" borderId="1" xfId="0" applyFont="false" applyBorder="true" applyAlignment="false" applyProtection="false">
      <alignment horizontal="general" vertical="bottom" textRotation="0" wrapText="false" indent="0" shrinkToFit="false"/>
      <protection locked="true" hidden="false"/>
    </xf>
    <xf numFmtId="168" fontId="0" fillId="5" borderId="1" xfId="0" applyFont="false" applyBorder="true" applyAlignment="false" applyProtection="false">
      <alignment horizontal="general" vertical="bottom" textRotation="0" wrapText="false" indent="0" shrinkToFit="false"/>
      <protection locked="true" hidden="false"/>
    </xf>
    <xf numFmtId="164" fontId="0" fillId="7" borderId="2" xfId="0" applyFont="true" applyBorder="true" applyAlignment="true" applyProtection="false">
      <alignment horizontal="center" vertical="bottom" textRotation="0" wrapText="false" indent="0" shrinkToFit="false"/>
      <protection locked="true" hidden="false"/>
    </xf>
    <xf numFmtId="164" fontId="5" fillId="6" borderId="0" xfId="0" applyFont="true" applyBorder="true" applyAlignment="true" applyProtection="false">
      <alignment horizontal="center" vertical="bottom" textRotation="0" wrapText="false" indent="0" shrinkToFit="false"/>
      <protection locked="true" hidden="false"/>
    </xf>
    <xf numFmtId="164" fontId="5" fillId="6" borderId="1" xfId="0" applyFont="true" applyBorder="true" applyAlignment="true" applyProtection="false">
      <alignment horizontal="center" vertical="bottom" textRotation="0" wrapText="false" indent="0" shrinkToFit="false"/>
      <protection locked="true" hidden="false"/>
    </xf>
    <xf numFmtId="164" fontId="5" fillId="8" borderId="1" xfId="0" applyFont="true" applyBorder="true" applyAlignment="true" applyProtection="false">
      <alignment horizontal="center" vertical="bottom" textRotation="0" wrapText="false" indent="0" shrinkToFit="false"/>
      <protection locked="true" hidden="false"/>
    </xf>
    <xf numFmtId="164" fontId="0" fillId="6" borderId="1" xfId="0" applyFont="true" applyBorder="true" applyAlignment="false" applyProtection="false">
      <alignment horizontal="general" vertical="bottom" textRotation="0" wrapText="false" indent="0" shrinkToFit="false"/>
      <protection locked="true" hidden="false"/>
    </xf>
    <xf numFmtId="167" fontId="0" fillId="6" borderId="1" xfId="0" applyFont="false" applyBorder="true" applyAlignment="false" applyProtection="false">
      <alignment horizontal="general" vertical="bottom" textRotation="0" wrapText="false" indent="0" shrinkToFit="false"/>
      <protection locked="true" hidden="false"/>
    </xf>
    <xf numFmtId="166" fontId="0" fillId="8" borderId="1" xfId="17" applyFont="true" applyBorder="true" applyAlignment="true" applyProtection="true">
      <alignment horizontal="general" vertical="bottom" textRotation="0" wrapText="false" indent="0" shrinkToFit="false"/>
      <protection locked="true" hidden="false"/>
    </xf>
    <xf numFmtId="166" fontId="5" fillId="8" borderId="1" xfId="17" applyFont="true" applyBorder="true" applyAlignment="true" applyProtection="true">
      <alignment horizontal="general" vertical="bottom" textRotation="0" wrapText="false" indent="0" shrinkToFit="false"/>
      <protection locked="true" hidden="false"/>
    </xf>
    <xf numFmtId="164" fontId="0" fillId="8" borderId="0" xfId="0" applyFont="true" applyBorder="false" applyAlignment="false" applyProtection="false">
      <alignment horizontal="general" vertical="bottom" textRotation="0" wrapText="false" indent="0" shrinkToFit="false"/>
      <protection locked="true" hidden="false"/>
    </xf>
    <xf numFmtId="164" fontId="5" fillId="7" borderId="0" xfId="0" applyFont="true" applyBorder="false" applyAlignment="false" applyProtection="false">
      <alignment horizontal="general" vertical="bottom" textRotation="0" wrapText="false" indent="0" shrinkToFit="false"/>
      <protection locked="true" hidden="false"/>
    </xf>
    <xf numFmtId="164" fontId="5" fillId="9" borderId="1" xfId="0" applyFont="true" applyBorder="true" applyAlignment="true" applyProtection="false">
      <alignment horizontal="center" vertical="bottom" textRotation="0" wrapText="false" indent="0" shrinkToFit="false"/>
      <protection locked="true" hidden="false"/>
    </xf>
    <xf numFmtId="164" fontId="0" fillId="9" borderId="1" xfId="0" applyFont="true" applyBorder="true" applyAlignment="false" applyProtection="false">
      <alignment horizontal="general" vertical="bottom" textRotation="0" wrapText="false" indent="0" shrinkToFit="false"/>
      <protection locked="true" hidden="false"/>
    </xf>
    <xf numFmtId="166" fontId="0" fillId="9" borderId="1" xfId="17" applyFont="true" applyBorder="true" applyAlignment="true" applyProtection="true">
      <alignment horizontal="general" vertical="bottom" textRotation="0" wrapText="false" indent="0" shrinkToFit="false"/>
      <protection locked="true" hidden="false"/>
    </xf>
    <xf numFmtId="164" fontId="0" fillId="9" borderId="0" xfId="0" applyFont="true" applyBorder="true" applyAlignment="true" applyProtection="false">
      <alignment horizontal="left" vertical="top" textRotation="0" wrapText="true" indent="0" shrinkToFit="false"/>
      <protection locked="true" hidden="false"/>
    </xf>
    <xf numFmtId="164" fontId="0" fillId="10" borderId="1" xfId="0" applyFont="true" applyBorder="true" applyAlignment="false" applyProtection="false">
      <alignment horizontal="general" vertical="bottom" textRotation="0" wrapText="false" indent="0" shrinkToFit="false"/>
      <protection locked="true" hidden="false"/>
    </xf>
    <xf numFmtId="164" fontId="0" fillId="10" borderId="1" xfId="0" applyFont="true" applyBorder="true" applyAlignment="true" applyProtection="false">
      <alignment horizontal="center" vertical="center" textRotation="0" wrapText="true" indent="0" shrinkToFit="false"/>
      <protection locked="true" hidden="false"/>
    </xf>
    <xf numFmtId="164" fontId="0" fillId="3" borderId="1" xfId="0" applyFont="true" applyBorder="true" applyAlignment="false" applyProtection="false">
      <alignment horizontal="general" vertical="bottom" textRotation="0" wrapText="false" indent="0" shrinkToFit="false"/>
      <protection locked="true" hidden="false"/>
    </xf>
    <xf numFmtId="169" fontId="6" fillId="3" borderId="1" xfId="23" applyFont="true" applyBorder="true" applyAlignment="true" applyProtection="false">
      <alignment horizontal="general" vertical="center" textRotation="0" wrapText="false" indent="0" shrinkToFit="false"/>
      <protection locked="true" hidden="false"/>
    </xf>
    <xf numFmtId="168" fontId="0" fillId="10" borderId="1" xfId="0" applyFont="false" applyBorder="true" applyAlignment="false" applyProtection="false">
      <alignment horizontal="general" vertical="bottom" textRotation="0" wrapText="false" indent="0" shrinkToFit="false"/>
      <protection locked="true" hidden="false"/>
    </xf>
    <xf numFmtId="169" fontId="6" fillId="10" borderId="1" xfId="23" applyFont="true" applyBorder="true" applyAlignment="true" applyProtection="false">
      <alignment horizontal="general" vertical="center" textRotation="0" wrapText="false" indent="0" shrinkToFit="false"/>
      <protection locked="true" hidden="false"/>
    </xf>
    <xf numFmtId="164" fontId="0" fillId="4" borderId="1" xfId="0" applyFont="true" applyBorder="true" applyAlignment="false" applyProtection="false">
      <alignment horizontal="general" vertical="bottom" textRotation="0" wrapText="false" indent="0" shrinkToFit="false"/>
      <protection locked="true" hidden="false"/>
    </xf>
    <xf numFmtId="169" fontId="6" fillId="4" borderId="1" xfId="23" applyFont="true" applyBorder="true" applyAlignment="true" applyProtection="false">
      <alignment horizontal="general" vertical="center" textRotation="0" wrapText="false" indent="0" shrinkToFit="false"/>
      <protection locked="true" hidden="false"/>
    </xf>
    <xf numFmtId="164" fontId="10" fillId="0" borderId="3" xfId="21" applyFont="true" applyBorder="true" applyAlignment="false" applyProtection="false">
      <alignment horizontal="general" vertical="bottom" textRotation="0" wrapText="false" indent="0" shrinkToFit="false"/>
      <protection locked="true" hidden="false"/>
    </xf>
    <xf numFmtId="170" fontId="11" fillId="11" borderId="3" xfId="22" applyFont="true" applyBorder="true" applyAlignment="true" applyProtection="false">
      <alignment horizontal="center" vertical="center" textRotation="0" wrapText="false" indent="0" shrinkToFit="false"/>
      <protection locked="true" hidden="false"/>
    </xf>
    <xf numFmtId="164" fontId="12" fillId="11" borderId="1" xfId="20" applyFont="true" applyBorder="true" applyAlignment="true" applyProtection="false">
      <alignment horizontal="center" vertical="bottom" textRotation="0" wrapText="false" indent="0" shrinkToFit="false"/>
      <protection locked="true" hidden="false"/>
    </xf>
    <xf numFmtId="170" fontId="13" fillId="11" borderId="3" xfId="22" applyFont="true" applyBorder="true" applyAlignment="true" applyProtection="false">
      <alignment horizontal="center" vertical="center" textRotation="0" wrapText="false" indent="0" shrinkToFit="false"/>
      <protection locked="true" hidden="false"/>
    </xf>
    <xf numFmtId="164" fontId="14" fillId="0" borderId="0" xfId="20" applyFont="true" applyBorder="false" applyAlignment="false" applyProtection="false">
      <alignment horizontal="general" vertical="bottom" textRotation="0" wrapText="false" indent="0" shrinkToFit="false"/>
      <protection locked="true" hidden="false"/>
    </xf>
    <xf numFmtId="172" fontId="15" fillId="12" borderId="1" xfId="15" applyFont="true" applyBorder="true" applyAlignment="true" applyProtection="true">
      <alignment horizontal="center" vertical="center" textRotation="0" wrapText="false" indent="0" shrinkToFit="false"/>
      <protection locked="true" hidden="false"/>
    </xf>
    <xf numFmtId="164" fontId="16" fillId="13" borderId="2" xfId="20" applyFont="true" applyBorder="true" applyAlignment="true" applyProtection="false">
      <alignment horizontal="center" vertical="center" textRotation="0" wrapText="false" indent="0" shrinkToFit="false"/>
      <protection locked="true" hidden="false"/>
    </xf>
    <xf numFmtId="169" fontId="17" fillId="14" borderId="4" xfId="15" applyFont="true" applyBorder="true" applyAlignment="true" applyProtection="true">
      <alignment horizontal="center" vertical="center" textRotation="0" wrapText="false" indent="0" shrinkToFit="false"/>
      <protection locked="true" hidden="false"/>
    </xf>
    <xf numFmtId="169" fontId="18" fillId="14" borderId="4" xfId="15" applyFont="true" applyBorder="true" applyAlignment="true" applyProtection="true">
      <alignment horizontal="center" vertical="center" textRotation="0" wrapText="false" indent="0" shrinkToFit="false"/>
      <protection locked="true" hidden="false"/>
    </xf>
    <xf numFmtId="164" fontId="16" fillId="13" borderId="5" xfId="20" applyFont="true" applyBorder="true" applyAlignment="true" applyProtection="false">
      <alignment horizontal="center" vertical="center" textRotation="0" wrapText="false" indent="0" shrinkToFit="false"/>
      <protection locked="true" hidden="false"/>
    </xf>
    <xf numFmtId="164" fontId="0" fillId="0" borderId="0" xfId="0" applyFont="true" applyBorder="true" applyAlignment="true" applyProtection="false">
      <alignment horizontal="left" vertical="top" textRotation="0" wrapText="tru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19" fillId="3" borderId="1" xfId="0" applyFont="true" applyBorder="true" applyAlignment="true" applyProtection="false">
      <alignment horizontal="center" vertical="bottom" textRotation="0" wrapText="false" indent="0" shrinkToFit="false"/>
      <protection locked="true" hidden="false"/>
    </xf>
    <xf numFmtId="164" fontId="16" fillId="2" borderId="1" xfId="20" applyFont="true" applyBorder="true" applyAlignment="true" applyProtection="false">
      <alignment horizontal="center" vertical="bottom" textRotation="0" wrapText="false" indent="0" shrinkToFit="false"/>
      <protection locked="true" hidden="false"/>
    </xf>
    <xf numFmtId="170" fontId="20" fillId="3" borderId="1" xfId="22" applyFont="true" applyBorder="true" applyAlignment="true" applyProtection="false">
      <alignment horizontal="center" vertical="center" textRotation="0" wrapText="false" indent="0" shrinkToFit="false"/>
      <protection locked="true" hidden="false"/>
    </xf>
    <xf numFmtId="164" fontId="16" fillId="2" borderId="1" xfId="20" applyFont="true" applyBorder="true" applyAlignment="true" applyProtection="false">
      <alignment horizontal="center" vertical="center" textRotation="0" wrapText="false" indent="0" shrinkToFit="false"/>
      <protection locked="true" hidden="false"/>
    </xf>
    <xf numFmtId="169" fontId="0" fillId="15" borderId="1" xfId="0" applyFont="false" applyBorder="true" applyAlignment="false" applyProtection="false">
      <alignment horizontal="general" vertical="bottom" textRotation="0" wrapText="false" indent="0" shrinkToFit="false"/>
      <protection locked="true" hidden="false"/>
    </xf>
    <xf numFmtId="164" fontId="16" fillId="2" borderId="0" xfId="20" applyFont="true" applyBorder="false" applyAlignment="true" applyProtection="false">
      <alignment horizontal="center" vertical="center" textRotation="0" wrapText="false" indent="0" shrinkToFit="false"/>
      <protection locked="true" hidden="false"/>
    </xf>
    <xf numFmtId="164" fontId="20" fillId="6" borderId="0" xfId="23" applyFont="true" applyBorder="false" applyAlignment="true" applyProtection="false">
      <alignment horizontal="center" vertical="center" textRotation="0" wrapText="false" indent="0" shrinkToFit="false"/>
      <protection locked="true" hidden="false"/>
    </xf>
    <xf numFmtId="164" fontId="21" fillId="16" borderId="6" xfId="0" applyFont="true" applyBorder="true" applyAlignment="true" applyProtection="false">
      <alignment horizontal="center" vertical="center" textRotation="0" wrapText="true" indent="0" shrinkToFit="false"/>
      <protection locked="true" hidden="false"/>
    </xf>
    <xf numFmtId="164" fontId="22" fillId="16" borderId="0" xfId="0" applyFont="true" applyBorder="false" applyAlignment="true" applyProtection="false">
      <alignment horizontal="center" vertical="center" textRotation="0" wrapText="false" indent="0" shrinkToFit="false"/>
      <protection locked="true" hidden="false"/>
    </xf>
    <xf numFmtId="173" fontId="11" fillId="16" borderId="7" xfId="0" applyFont="true" applyBorder="true" applyAlignment="true" applyProtection="false">
      <alignment horizontal="center" vertical="center" textRotation="0" wrapText="false" indent="0" shrinkToFit="false"/>
      <protection locked="true" hidden="false"/>
    </xf>
    <xf numFmtId="164" fontId="13" fillId="16" borderId="8" xfId="23" applyFont="true" applyBorder="true" applyAlignment="true" applyProtection="false">
      <alignment horizontal="center" vertical="center" textRotation="0" wrapText="false" indent="0" shrinkToFit="false"/>
      <protection locked="true" hidden="false"/>
    </xf>
    <xf numFmtId="171" fontId="4" fillId="17" borderId="9" xfId="15" applyFont="true" applyBorder="true" applyAlignment="true" applyProtection="true">
      <alignment horizontal="general" vertical="center" textRotation="0" wrapText="false" indent="0" shrinkToFit="false"/>
      <protection locked="true" hidden="false"/>
    </xf>
    <xf numFmtId="164" fontId="5" fillId="4" borderId="0" xfId="0" applyFont="true" applyBorder="true" applyAlignment="true" applyProtection="false">
      <alignment horizontal="center" vertical="top" textRotation="0" wrapText="true" indent="0" shrinkToFit="false"/>
      <protection locked="true" hidden="false"/>
    </xf>
    <xf numFmtId="174" fontId="0" fillId="5" borderId="1" xfId="0" applyFont="false" applyBorder="true" applyAlignment="false" applyProtection="false">
      <alignment horizontal="general" vertical="bottom" textRotation="0" wrapText="false" indent="0" shrinkToFit="false"/>
      <protection locked="true" hidden="false"/>
    </xf>
    <xf numFmtId="169" fontId="0" fillId="5" borderId="1" xfId="0" applyFont="false" applyBorder="true" applyAlignment="false" applyProtection="false">
      <alignment horizontal="general" vertical="bottom" textRotation="0" wrapText="false" indent="0" shrinkToFit="false"/>
      <protection locked="true" hidden="false"/>
    </xf>
    <xf numFmtId="169" fontId="5" fillId="5" borderId="1" xfId="0" applyFont="true" applyBorder="true" applyAlignment="false" applyProtection="false">
      <alignment horizontal="general" vertical="bottom" textRotation="0" wrapText="false" indent="0" shrinkToFit="false"/>
      <protection locked="true" hidden="false"/>
    </xf>
    <xf numFmtId="164" fontId="16" fillId="2" borderId="1" xfId="20" applyFont="true" applyBorder="true" applyAlignment="true" applyProtection="false">
      <alignment horizontal="left" vertical="bottom" textRotation="0" wrapText="false" indent="0" shrinkToFit="false"/>
      <protection locked="true" hidden="false"/>
    </xf>
    <xf numFmtId="164" fontId="14" fillId="2" borderId="1" xfId="20" applyFont="true" applyBorder="true" applyAlignment="true" applyProtection="false">
      <alignment horizontal="left" vertical="bottom" textRotation="0" wrapText="false" indent="2" shrinkToFit="false"/>
      <protection locked="true" hidden="false"/>
    </xf>
    <xf numFmtId="169" fontId="23" fillId="5" borderId="1" xfId="0" applyFont="true" applyBorder="true" applyAlignment="false" applyProtection="false">
      <alignment horizontal="general" vertical="bottom" textRotation="0" wrapText="false" indent="0" shrinkToFit="false"/>
      <protection locked="true" hidden="false"/>
    </xf>
    <xf numFmtId="175" fontId="24" fillId="5" borderId="10" xfId="0" applyFont="true" applyBorder="true" applyAlignment="true" applyProtection="false">
      <alignment horizontal="general" vertical="center" textRotation="0" wrapText="false" indent="0" shrinkToFit="false"/>
      <protection locked="true" hidden="false"/>
    </xf>
    <xf numFmtId="164" fontId="16" fillId="18" borderId="1" xfId="20" applyFont="true" applyBorder="true" applyAlignment="true" applyProtection="false">
      <alignment horizontal="center" vertical="bottom" textRotation="0" wrapText="false" indent="0" shrinkToFit="false"/>
      <protection locked="true" hidden="false"/>
    </xf>
    <xf numFmtId="176" fontId="0" fillId="5" borderId="1" xfId="0" applyFont="false" applyBorder="true" applyAlignment="false" applyProtection="false">
      <alignment horizontal="general" vertical="bottom" textRotation="0" wrapText="false" indent="0" shrinkToFit="false"/>
      <protection locked="true" hidden="false"/>
    </xf>
    <xf numFmtId="164" fontId="16" fillId="19" borderId="1" xfId="20" applyFont="true" applyBorder="true" applyAlignment="true" applyProtection="false">
      <alignment horizontal="center" vertical="bottom" textRotation="0" wrapText="false" indent="0" shrinkToFit="false"/>
      <protection locked="true" hidden="false"/>
    </xf>
    <xf numFmtId="169" fontId="0" fillId="19" borderId="1" xfId="0" applyFont="false" applyBorder="true" applyAlignment="false" applyProtection="false">
      <alignment horizontal="general" vertical="bottom" textRotation="0" wrapText="false" indent="0" shrinkToFit="false"/>
      <protection locked="true" hidden="false"/>
    </xf>
    <xf numFmtId="170" fontId="20" fillId="3" borderId="11" xfId="22" applyFont="true" applyBorder="true" applyAlignment="true" applyProtection="false">
      <alignment horizontal="center" vertical="center" textRotation="0" wrapText="false" indent="0" shrinkToFit="false"/>
      <protection locked="true" hidden="false"/>
    </xf>
    <xf numFmtId="177" fontId="0" fillId="5" borderId="1" xfId="19" applyFont="true" applyBorder="true" applyAlignment="true" applyProtection="true">
      <alignment horizontal="general" vertical="bottom" textRotation="0" wrapText="false" indent="0" shrinkToFit="false"/>
      <protection locked="true" hidden="false"/>
    </xf>
    <xf numFmtId="164" fontId="0" fillId="20" borderId="0" xfId="0" applyFont="false" applyBorder="false" applyAlignment="false" applyProtection="false">
      <alignment horizontal="general" vertical="bottom" textRotation="0" wrapText="false" indent="0" shrinkToFit="false"/>
      <protection locked="true" hidden="false"/>
    </xf>
    <xf numFmtId="164" fontId="16" fillId="2" borderId="12" xfId="20" applyFont="true" applyBorder="true" applyAlignment="true" applyProtection="false">
      <alignment horizontal="center" vertical="bottom" textRotation="0" wrapText="false" indent="0" shrinkToFit="false"/>
      <protection locked="true" hidden="false"/>
    </xf>
    <xf numFmtId="164" fontId="16" fillId="7" borderId="1" xfId="20" applyFont="true" applyBorder="true" applyAlignment="true" applyProtection="false">
      <alignment horizontal="center" vertical="bottom" textRotation="0" wrapText="false" indent="0" shrinkToFit="false"/>
      <protection locked="true" hidden="false"/>
    </xf>
    <xf numFmtId="167" fontId="0" fillId="7" borderId="1" xfId="19" applyFont="true" applyBorder="true" applyAlignment="true" applyProtection="true">
      <alignment horizontal="general" vertical="bottom" textRotation="0" wrapText="false" indent="0" shrinkToFit="false"/>
      <protection locked="true" hidden="false"/>
    </xf>
    <xf numFmtId="167" fontId="0" fillId="7" borderId="1" xfId="0" applyFont="false" applyBorder="true" applyAlignment="false" applyProtection="false">
      <alignment horizontal="general" vertical="bottom" textRotation="0" wrapText="false" indent="0" shrinkToFit="false"/>
      <protection locked="true" hidden="false"/>
    </xf>
    <xf numFmtId="167" fontId="0" fillId="2" borderId="1" xfId="19" applyFont="true" applyBorder="true" applyAlignment="true" applyProtection="true">
      <alignment horizontal="general" vertical="bottom" textRotation="0" wrapText="false" indent="0" shrinkToFit="false"/>
      <protection locked="true" hidden="false"/>
    </xf>
    <xf numFmtId="164" fontId="26" fillId="2" borderId="1" xfId="21" applyFont="true" applyBorder="true" applyAlignment="false" applyProtection="false">
      <alignment horizontal="general" vertical="bottom" textRotation="0" wrapText="false" indent="0" shrinkToFit="false"/>
      <protection locked="true" hidden="false"/>
    </xf>
    <xf numFmtId="170" fontId="27" fillId="3" borderId="1" xfId="22" applyFont="true" applyBorder="true" applyAlignment="true" applyProtection="false">
      <alignment horizontal="center" vertical="center" textRotation="0" wrapText="false" indent="0" shrinkToFit="false"/>
      <protection locked="true" hidden="false"/>
    </xf>
    <xf numFmtId="169" fontId="14" fillId="6" borderId="1" xfId="15" applyFont="true" applyBorder="true" applyAlignment="true" applyProtection="true">
      <alignment horizontal="center" vertical="center" textRotation="0" wrapText="false" indent="0" shrinkToFit="false"/>
      <protection locked="true" hidden="false"/>
    </xf>
    <xf numFmtId="164" fontId="28" fillId="21" borderId="1" xfId="0" applyFont="tru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true" applyProtection="false">
      <alignment horizontal="center" vertical="bottom" textRotation="0" wrapText="false" indent="0" shrinkToFit="false"/>
      <protection locked="true" hidden="false"/>
    </xf>
    <xf numFmtId="178" fontId="29" fillId="5" borderId="1" xfId="0" applyFont="true" applyBorder="true" applyAlignment="true" applyProtection="false">
      <alignment horizontal="center" vertical="center" textRotation="0" wrapText="false" indent="0" shrinkToFit="false"/>
      <protection locked="true" hidden="false"/>
    </xf>
    <xf numFmtId="178" fontId="0" fillId="5" borderId="1" xfId="0" applyFont="false" applyBorder="true" applyAlignment="true" applyProtection="false">
      <alignment horizontal="center" vertical="bottom" textRotation="0" wrapText="false" indent="0" shrinkToFit="false"/>
      <protection locked="true" hidden="false"/>
    </xf>
    <xf numFmtId="164" fontId="30" fillId="2" borderId="1" xfId="0" applyFont="true" applyBorder="true" applyAlignment="true" applyProtection="false">
      <alignment horizontal="center" vertical="center" textRotation="0" wrapText="false" indent="0" shrinkToFit="false"/>
      <protection locked="true" hidden="false"/>
    </xf>
    <xf numFmtId="164" fontId="30" fillId="2" borderId="1" xfId="0" applyFont="true" applyBorder="true" applyAlignment="true" applyProtection="false">
      <alignment horizontal="left" vertical="center" textRotation="0" wrapText="false" indent="0" shrinkToFit="false"/>
      <protection locked="true" hidden="false"/>
    </xf>
    <xf numFmtId="164" fontId="6" fillId="2" borderId="1" xfId="23" applyFont="true" applyBorder="true" applyAlignment="true" applyProtection="false">
      <alignment horizontal="general" vertical="center" textRotation="0" wrapText="false" indent="0" shrinkToFit="false"/>
      <protection locked="true" hidden="false"/>
    </xf>
    <xf numFmtId="179" fontId="0" fillId="5" borderId="1" xfId="0" applyFont="false" applyBorder="true" applyAlignment="false" applyProtection="false">
      <alignment horizontal="general" vertical="bottom" textRotation="0" wrapText="false" indent="0" shrinkToFit="false"/>
      <protection locked="true" hidden="false"/>
    </xf>
    <xf numFmtId="164" fontId="31" fillId="2" borderId="1" xfId="0" applyFont="true" applyBorder="true" applyAlignment="false" applyProtection="false">
      <alignment horizontal="general" vertical="bottom" textRotation="0" wrapText="false" indent="0" shrinkToFit="false"/>
      <protection locked="true" hidden="false"/>
    </xf>
    <xf numFmtId="170" fontId="32" fillId="3" borderId="1" xfId="22" applyFont="true" applyBorder="true" applyAlignment="true" applyProtection="false">
      <alignment horizontal="center" vertical="center" textRotation="0" wrapText="false" indent="0" shrinkToFit="false"/>
      <protection locked="true" hidden="false"/>
    </xf>
    <xf numFmtId="169" fontId="33" fillId="6" borderId="1" xfId="24" applyFont="true" applyBorder="true" applyAlignment="true" applyProtection="false">
      <alignment horizontal="center" vertical="center" textRotation="0" wrapText="false" indent="0" shrinkToFit="false"/>
      <protection locked="true" hidden="false"/>
    </xf>
    <xf numFmtId="169" fontId="34" fillId="6" borderId="1" xfId="19" applyFont="true" applyBorder="true" applyAlignment="true" applyProtection="true">
      <alignment horizontal="center" vertical="center" textRotation="0" wrapText="false" indent="0" shrinkToFit="false"/>
      <protection locked="true" hidden="false"/>
    </xf>
    <xf numFmtId="164" fontId="0" fillId="2" borderId="1" xfId="0" applyFont="true" applyBorder="true" applyAlignment="true" applyProtection="false">
      <alignment horizontal="center" vertical="bottom" textRotation="0" wrapText="false" indent="0" shrinkToFit="false"/>
      <protection locked="true" hidden="false"/>
    </xf>
    <xf numFmtId="178" fontId="6" fillId="2" borderId="1" xfId="23" applyFont="true" applyBorder="true" applyAlignment="true" applyProtection="false">
      <alignment horizontal="center" vertical="center" textRotation="0" wrapText="false" indent="0" shrinkToFit="false"/>
      <protection locked="true" hidden="false"/>
    </xf>
    <xf numFmtId="168" fontId="0" fillId="6" borderId="1" xfId="0" applyFont="false" applyBorder="true" applyAlignment="false" applyProtection="false">
      <alignment horizontal="general" vertical="bottom" textRotation="0" wrapText="false" indent="0" shrinkToFit="false"/>
      <protection locked="true" hidden="false"/>
    </xf>
    <xf numFmtId="178" fontId="6" fillId="2" borderId="1" xfId="0" applyFont="true" applyBorder="true" applyAlignment="true" applyProtection="false">
      <alignment horizontal="center" vertical="center" textRotation="0" wrapText="false" indent="0" shrinkToFit="false"/>
      <protection locked="true" hidden="false"/>
    </xf>
    <xf numFmtId="164" fontId="19" fillId="2" borderId="1" xfId="0" applyFont="true" applyBorder="true" applyAlignment="false" applyProtection="false">
      <alignment horizontal="general" vertical="bottom" textRotation="0" wrapText="false" indent="0" shrinkToFit="false"/>
      <protection locked="true" hidden="false"/>
    </xf>
    <xf numFmtId="179" fontId="0" fillId="5" borderId="1" xfId="19" applyFont="true" applyBorder="true" applyAlignment="true" applyProtection="true">
      <alignment horizontal="right" vertical="center" textRotation="0" wrapText="false" indent="1" shrinkToFit="false"/>
      <protection locked="true" hidden="false"/>
    </xf>
    <xf numFmtId="164" fontId="19" fillId="2" borderId="3" xfId="0" applyFont="true" applyBorder="true" applyAlignment="false" applyProtection="false">
      <alignment horizontal="general" vertical="bottom" textRotation="0" wrapText="false" indent="0" shrinkToFit="false"/>
      <protection locked="true" hidden="false"/>
    </xf>
    <xf numFmtId="180" fontId="0" fillId="6" borderId="1" xfId="19" applyFont="true" applyBorder="true" applyAlignment="true" applyProtection="true">
      <alignment horizontal="center" vertical="center" textRotation="0" wrapText="false" indent="0" shrinkToFit="false"/>
      <protection locked="true" hidden="false"/>
    </xf>
    <xf numFmtId="169" fontId="6" fillId="2" borderId="1" xfId="23" applyFont="true" applyBorder="true" applyAlignment="true" applyProtection="false">
      <alignment horizontal="general" vertical="center" textRotation="0" wrapText="false" indent="0" shrinkToFit="false"/>
      <protection locked="true" hidden="false"/>
    </xf>
    <xf numFmtId="164" fontId="35" fillId="2" borderId="0" xfId="0" applyFont="true" applyBorder="false" applyAlignment="false" applyProtection="false">
      <alignment horizontal="general" vertical="bottom" textRotation="0" wrapText="false" indent="0" shrinkToFit="false"/>
      <protection locked="true" hidden="false"/>
    </xf>
    <xf numFmtId="169" fontId="0" fillId="6" borderId="1" xfId="0" applyFont="false" applyBorder="true" applyAlignment="false" applyProtection="false">
      <alignment horizontal="general" vertical="bottom" textRotation="0" wrapText="false" indent="0" shrinkToFit="false"/>
      <protection locked="true" hidden="false"/>
    </xf>
    <xf numFmtId="169" fontId="6" fillId="3" borderId="11" xfId="23" applyFont="true" applyBorder="true" applyAlignment="true" applyProtection="false">
      <alignment horizontal="center" vertical="center" textRotation="0" wrapText="false" indent="0" shrinkToFit="false"/>
      <protection locked="true" hidden="false"/>
    </xf>
    <xf numFmtId="164" fontId="0" fillId="3" borderId="13" xfId="0" applyFont="true" applyBorder="true" applyAlignment="true" applyProtection="false">
      <alignment horizontal="center" vertical="bottom" textRotation="0" wrapText="false" indent="0" shrinkToFit="false"/>
      <protection locked="true" hidden="false"/>
    </xf>
    <xf numFmtId="169" fontId="36" fillId="2" borderId="1" xfId="23" applyFont="true" applyBorder="true" applyAlignment="true" applyProtection="false">
      <alignment horizontal="general" vertical="center" textRotation="0" wrapText="true" indent="0" shrinkToFit="false"/>
      <protection locked="true" hidden="false"/>
    </xf>
    <xf numFmtId="169" fontId="37" fillId="2" borderId="1" xfId="22" applyFont="true" applyBorder="true" applyAlignment="true" applyProtection="false">
      <alignment horizontal="right" vertical="center" textRotation="0" wrapText="false" indent="0" shrinkToFit="false"/>
      <protection locked="true" hidden="false"/>
    </xf>
    <xf numFmtId="169" fontId="36" fillId="2" borderId="1" xfId="23" applyFont="true" applyBorder="true" applyAlignment="true" applyProtection="false">
      <alignment horizontal="center" vertical="center" textRotation="0" wrapText="true" indent="0" shrinkToFit="false"/>
      <protection locked="true" hidden="false"/>
    </xf>
    <xf numFmtId="169" fontId="5" fillId="2" borderId="1" xfId="0" applyFont="true" applyBorder="true" applyAlignment="false" applyProtection="false">
      <alignment horizontal="general" vertical="bottom" textRotation="0" wrapText="false" indent="0" shrinkToFit="false"/>
      <protection locked="true" hidden="false"/>
    </xf>
    <xf numFmtId="169" fontId="0" fillId="2" borderId="1" xfId="0" applyFont="false" applyBorder="true" applyAlignment="false" applyProtection="false">
      <alignment horizontal="general" vertical="bottom" textRotation="0" wrapText="false" indent="0" shrinkToFit="false"/>
      <protection locked="true" hidden="false"/>
    </xf>
    <xf numFmtId="169" fontId="30" fillId="2" borderId="1" xfId="23" applyFont="true" applyBorder="true" applyAlignment="true" applyProtection="false">
      <alignment horizontal="general" vertical="center" textRotation="0" wrapText="false" indent="0" shrinkToFit="false"/>
      <protection locked="true" hidden="false"/>
    </xf>
    <xf numFmtId="164" fontId="19" fillId="22" borderId="1" xfId="0" applyFont="true" applyBorder="true" applyAlignment="false" applyProtection="false">
      <alignment horizontal="general" vertical="bottom" textRotation="0" wrapText="false" indent="0" shrinkToFit="false"/>
      <protection locked="true" hidden="false"/>
    </xf>
    <xf numFmtId="164" fontId="19" fillId="22" borderId="11" xfId="0" applyFont="true" applyBorder="true" applyAlignment="false" applyProtection="false">
      <alignment horizontal="general" vertical="bottom" textRotation="0" wrapText="false" indent="0" shrinkToFit="false"/>
      <protection locked="true" hidden="false"/>
    </xf>
    <xf numFmtId="170" fontId="20" fillId="23" borderId="11" xfId="0" applyFont="true" applyBorder="true" applyAlignment="true" applyProtection="false">
      <alignment horizontal="center" vertical="center" textRotation="0" wrapText="false" indent="0" shrinkToFit="false"/>
      <protection locked="true" hidden="false"/>
    </xf>
    <xf numFmtId="169" fontId="36" fillId="22" borderId="14" xfId="0" applyFont="true" applyBorder="true" applyAlignment="true" applyProtection="false">
      <alignment horizontal="general" vertical="center" textRotation="0" wrapText="true" indent="0" shrinkToFit="false"/>
      <protection locked="true" hidden="false"/>
    </xf>
    <xf numFmtId="169" fontId="6" fillId="22" borderId="15" xfId="0" applyFont="true" applyBorder="true" applyAlignment="true" applyProtection="false">
      <alignment horizontal="general" vertical="center" textRotation="0" wrapText="false" indent="0" shrinkToFit="false"/>
      <protection locked="true" hidden="false"/>
    </xf>
    <xf numFmtId="169" fontId="37" fillId="22" borderId="15" xfId="0" applyFont="true" applyBorder="true" applyAlignment="true" applyProtection="false">
      <alignment horizontal="right" vertical="center" textRotation="0" wrapText="false" indent="0" shrinkToFit="false"/>
      <protection locked="true" hidden="false"/>
    </xf>
    <xf numFmtId="169" fontId="36" fillId="22" borderId="4" xfId="0" applyFont="true" applyBorder="true" applyAlignment="true" applyProtection="false">
      <alignment horizontal="center" vertical="center" textRotation="0" wrapText="true" indent="0" shrinkToFit="false"/>
      <protection locked="true" hidden="false"/>
    </xf>
    <xf numFmtId="169" fontId="39" fillId="22" borderId="15" xfId="0" applyFont="true" applyBorder="true" applyAlignment="false" applyProtection="false">
      <alignment horizontal="general" vertical="bottom" textRotation="0" wrapText="false" indent="0" shrinkToFit="false"/>
      <protection locked="true" hidden="false"/>
    </xf>
    <xf numFmtId="169" fontId="35" fillId="22" borderId="15" xfId="0" applyFont="true" applyBorder="true" applyAlignment="false" applyProtection="false">
      <alignment horizontal="general" vertical="bottom" textRotation="0" wrapText="false" indent="0" shrinkToFit="false"/>
      <protection locked="true" hidden="false"/>
    </xf>
    <xf numFmtId="169" fontId="36" fillId="22" borderId="1" xfId="0" applyFont="true" applyBorder="true" applyAlignment="true" applyProtection="false">
      <alignment horizontal="center" vertical="center" textRotation="0" wrapText="true" indent="0" shrinkToFit="false"/>
      <protection locked="true" hidden="false"/>
    </xf>
    <xf numFmtId="169" fontId="30" fillId="22" borderId="15" xfId="0" applyFont="true" applyBorder="true" applyAlignment="true" applyProtection="false">
      <alignment horizontal="general" vertical="center" textRotation="0" wrapText="false" indent="0" shrinkToFit="false"/>
      <protection locked="true" hidden="false"/>
    </xf>
    <xf numFmtId="170" fontId="20" fillId="3" borderId="0" xfId="22" applyFont="true" applyBorder="true" applyAlignment="true" applyProtection="false">
      <alignment horizontal="center" vertical="center" textRotation="0" wrapText="false" indent="0" shrinkToFit="false"/>
      <protection locked="true" hidden="false"/>
    </xf>
    <xf numFmtId="170" fontId="20" fillId="3" borderId="13" xfId="22" applyFont="true" applyBorder="true" applyAlignment="true" applyProtection="false">
      <alignment horizontal="center" vertical="center" textRotation="0" wrapText="false" indent="0" shrinkToFit="false"/>
      <protection locked="true" hidden="false"/>
    </xf>
    <xf numFmtId="178" fontId="30" fillId="2" borderId="1" xfId="23" applyFont="true" applyBorder="true" applyAlignment="true" applyProtection="false">
      <alignment horizontal="center" vertical="center" textRotation="0" wrapText="false" indent="0" shrinkToFit="false"/>
      <protection locked="true" hidden="false"/>
    </xf>
    <xf numFmtId="169" fontId="6" fillId="2" borderId="1" xfId="23" applyFont="true" applyBorder="true" applyAlignment="true" applyProtection="false">
      <alignment horizontal="center" vertical="center" textRotation="0" wrapText="true" indent="0" shrinkToFit="false"/>
      <protection locked="true" hidden="false"/>
    </xf>
    <xf numFmtId="169" fontId="0" fillId="3" borderId="1" xfId="0" applyFont="false" applyBorder="true" applyAlignment="false" applyProtection="false">
      <alignment horizontal="general" vertical="bottom" textRotation="0" wrapText="false" indent="0" shrinkToFit="false"/>
      <protection locked="true" hidden="false"/>
    </xf>
    <xf numFmtId="169" fontId="5" fillId="3" borderId="1" xfId="0" applyFont="true" applyBorder="true" applyAlignment="false" applyProtection="false">
      <alignment horizontal="general" vertical="bottom" textRotation="0" wrapText="false" indent="0" shrinkToFit="false"/>
      <protection locked="true" hidden="false"/>
    </xf>
    <xf numFmtId="178" fontId="6" fillId="2" borderId="3" xfId="23" applyFont="true" applyBorder="true" applyAlignment="true" applyProtection="false">
      <alignment horizontal="center" vertical="center" textRotation="0" wrapText="false" indent="0" shrinkToFit="false"/>
      <protection locked="true" hidden="false"/>
    </xf>
    <xf numFmtId="169" fontId="0" fillId="5" borderId="1" xfId="19" applyFont="true" applyBorder="true" applyAlignment="true" applyProtection="true">
      <alignment horizontal="right" vertical="center" textRotation="0" wrapText="false" indent="1" shrinkToFit="false"/>
      <protection locked="true" hidden="false"/>
    </xf>
    <xf numFmtId="164" fontId="40" fillId="2" borderId="1" xfId="0" applyFont="true" applyBorder="true" applyAlignment="true" applyProtection="false">
      <alignment horizontal="center" vertical="bottom" textRotation="0" wrapText="false" indent="0" shrinkToFit="false"/>
      <protection locked="true" hidden="false"/>
    </xf>
    <xf numFmtId="169" fontId="40" fillId="5" borderId="1" xfId="0" applyFont="true" applyBorder="true" applyAlignment="false" applyProtection="false">
      <alignment horizontal="general" vertical="bottom" textRotation="0" wrapText="false" indent="0" shrinkToFit="false"/>
      <protection locked="true" hidden="false"/>
    </xf>
    <xf numFmtId="164" fontId="0" fillId="2" borderId="1" xfId="0" applyFont="true" applyBorder="true" applyAlignment="true" applyProtection="false">
      <alignment horizontal="center" vertical="center" textRotation="0" wrapText="false" indent="0" shrinkToFit="false"/>
      <protection locked="true" hidden="false"/>
    </xf>
    <xf numFmtId="164" fontId="0" fillId="2" borderId="1" xfId="0" applyFont="true" applyBorder="true" applyAlignment="true" applyProtection="false">
      <alignment horizontal="general" vertical="center" textRotation="0" wrapText="false" indent="0" shrinkToFit="false"/>
      <protection locked="true" hidden="false"/>
    </xf>
    <xf numFmtId="168" fontId="0" fillId="5" borderId="16" xfId="0" applyFont="false" applyBorder="tru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cellXfs>
  <cellStyles count="11">
    <cellStyle name="Normal" xfId="0" builtinId="0"/>
    <cellStyle name="Comma" xfId="15" builtinId="3"/>
    <cellStyle name="Comma [0]" xfId="16" builtinId="6"/>
    <cellStyle name="Currency" xfId="17" builtinId="4"/>
    <cellStyle name="Currency [0]" xfId="18" builtinId="7"/>
    <cellStyle name="Percent" xfId="19" builtinId="5"/>
    <cellStyle name="=C:\WINNT\SYSTEM32\COMMAND.COM" xfId="20"/>
    <cellStyle name="Normal 2" xfId="21"/>
    <cellStyle name="Normal_Parametros_2011_ExOp (2)" xfId="22"/>
    <cellStyle name="Normal_Plan1" xfId="23"/>
    <cellStyle name="Normal_Previsão de consumo_SAMARCO-2003" xfId="24"/>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C1E5F5"/>
      <rgbColor rgb="FF993366"/>
      <rgbColor rgb="FFFBE3D6"/>
      <rgbColor rgb="FFDCEAF7"/>
      <rgbColor rgb="FF660066"/>
      <rgbColor rgb="FFD86ECC"/>
      <rgbColor rgb="FF0066CC"/>
      <rgbColor rgb="FFCCCCFF"/>
      <rgbColor rgb="FF000080"/>
      <rgbColor rgb="FFFF00FF"/>
      <rgbColor rgb="FFFFFF00"/>
      <rgbColor rgb="FF00FFFF"/>
      <rgbColor rgb="FF800080"/>
      <rgbColor rgb="FF800000"/>
      <rgbColor rgb="FF156082"/>
      <rgbColor rgb="FF0000FF"/>
      <rgbColor rgb="FF00CCFF"/>
      <rgbColor rgb="FFDAE9F8"/>
      <rgbColor rgb="FFC2F1C8"/>
      <rgbColor rgb="FFFFFF99"/>
      <rgbColor rgb="FF83CBEB"/>
      <rgbColor rgb="FFE59EDD"/>
      <rgbColor rgb="FFD1D1D1"/>
      <rgbColor rgb="FFFBE2D5"/>
      <rgbColor rgb="FF3366FF"/>
      <rgbColor rgb="FF33CCCC"/>
      <rgbColor rgb="FFB4E5A2"/>
      <rgbColor rgb="FFFFCC00"/>
      <rgbColor rgb="FFFF9900"/>
      <rgbColor rgb="FFFF6600"/>
      <rgbColor rgb="FF666699"/>
      <rgbColor rgb="FFF2CFEE"/>
      <rgbColor rgb="FF003366"/>
      <rgbColor rgb="FF4E95D9"/>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15</xdr:col>
      <xdr:colOff>272160</xdr:colOff>
      <xdr:row>2</xdr:row>
      <xdr:rowOff>54360</xdr:rowOff>
    </xdr:from>
    <xdr:to>
      <xdr:col>15</xdr:col>
      <xdr:colOff>618840</xdr:colOff>
      <xdr:row>33</xdr:row>
      <xdr:rowOff>135720</xdr:rowOff>
    </xdr:to>
    <xdr:sp>
      <xdr:nvSpPr>
        <xdr:cNvPr id="0" name="Seta: para Cima 1"/>
        <xdr:cNvSpPr/>
      </xdr:nvSpPr>
      <xdr:spPr>
        <a:xfrm>
          <a:off x="17924400" y="454320"/>
          <a:ext cx="346680" cy="6282360"/>
        </a:xfrm>
        <a:prstGeom prst="upArrow">
          <a:avLst>
            <a:gd name="adj1" fmla="val 50000"/>
            <a:gd name="adj2" fmla="val 282697"/>
          </a:avLst>
        </a:prstGeom>
        <a:solidFill>
          <a:srgbClr val="156082"/>
        </a:solidFill>
        <a:ln w="19050">
          <a:solidFill>
            <a:srgbClr val="092a38"/>
          </a:solidFill>
          <a:miter/>
        </a:ln>
      </xdr:spPr>
      <xdr:style>
        <a:lnRef idx="2">
          <a:schemeClr val="accent1">
            <a:shade val="15000"/>
          </a:schemeClr>
        </a:lnRef>
        <a:fillRef idx="1">
          <a:schemeClr val="accent1"/>
        </a:fillRef>
        <a:effectRef idx="0">
          <a:schemeClr val="accent1"/>
        </a:effectRef>
        <a:fontRef idx="minor"/>
      </xdr:style>
    </xdr:sp>
    <xdr:clientData/>
  </xdr:twoCellAnchor>
</xdr:wsDr>
</file>

<file path=xl/theme/theme1.xml><?xml version="1.0" encoding="utf-8"?>
<a:theme xmlns:a="http://schemas.openxmlformats.org/drawingml/2006/main" xmlns:r="http://schemas.openxmlformats.org/officeDocument/2006/relationships" name="Tema do Offic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2.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3.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1.xml"/><Relationship Id="rId3" Type="http://schemas.openxmlformats.org/officeDocument/2006/relationships/vmlDrawing" Target="../drawings/vmlDrawing4.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5.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6.vml"/>
</Relationships>
</file>

<file path=xl/worksheets/_rels/sheet15.xml.rels><?xml version="1.0" encoding="UTF-8"?>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7.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32"/>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selection pane="topLeft" activeCell="I28" activeCellId="0" sqref="I28"/>
    </sheetView>
  </sheetViews>
  <sheetFormatPr defaultColWidth="11" defaultRowHeight="15.75" zeroHeight="false" outlineLevelRow="0" outlineLevelCol="0"/>
  <cols>
    <col collapsed="false" customWidth="true" hidden="false" outlineLevel="0" max="1" min="1" style="0" width="31"/>
    <col collapsed="false" customWidth="true" hidden="false" outlineLevel="0" max="2" min="2" style="0" width="15.51"/>
    <col collapsed="false" customWidth="true" hidden="false" outlineLevel="0" max="3" min="3" style="0" width="15.75"/>
    <col collapsed="false" customWidth="true" hidden="false" outlineLevel="0" max="4" min="4" style="0" width="18.37"/>
    <col collapsed="false" customWidth="true" hidden="false" outlineLevel="0" max="5" min="5" style="0" width="20.12"/>
    <col collapsed="false" customWidth="true" hidden="false" outlineLevel="0" max="6" min="6" style="0" width="9.63"/>
    <col collapsed="false" customWidth="true" hidden="false" outlineLevel="0" max="7" min="7" style="0" width="19.37"/>
    <col collapsed="false" customWidth="true" hidden="false" outlineLevel="0" max="8" min="8" style="0" width="21.63"/>
    <col collapsed="false" customWidth="true" hidden="false" outlineLevel="0" max="9" min="9" style="0" width="16.5"/>
    <col collapsed="false" customWidth="true" hidden="false" outlineLevel="0" max="10" min="10" style="0" width="15.51"/>
    <col collapsed="false" customWidth="true" hidden="false" outlineLevel="0" max="11" min="11" style="0" width="11.63"/>
    <col collapsed="false" customWidth="true" hidden="false" outlineLevel="0" max="12" min="12" style="0" width="33.37"/>
    <col collapsed="false" customWidth="true" hidden="false" outlineLevel="0" max="13" min="13" style="0" width="15.13"/>
    <col collapsed="false" customWidth="true" hidden="false" outlineLevel="0" max="14" min="14" style="0" width="10"/>
    <col collapsed="false" customWidth="true" hidden="false" outlineLevel="0" max="15" min="15" style="0" width="13.37"/>
    <col collapsed="false" customWidth="true" hidden="false" outlineLevel="0" max="16" min="16" style="0" width="17.37"/>
    <col collapsed="false" customWidth="true" hidden="false" outlineLevel="0" max="17" min="17" style="0" width="11.63"/>
    <col collapsed="false" customWidth="true" hidden="false" outlineLevel="0" max="18" min="18" style="0" width="15.13"/>
    <col collapsed="false" customWidth="true" hidden="false" outlineLevel="0" max="19" min="19" style="0" width="10"/>
    <col collapsed="false" customWidth="true" hidden="false" outlineLevel="0" max="20" min="20" style="0" width="13.37"/>
    <col collapsed="false" customWidth="true" hidden="false" outlineLevel="0" max="21" min="21" style="0" width="17.37"/>
    <col collapsed="false" customWidth="true" hidden="false" outlineLevel="0" max="22" min="22" style="0" width="11.63"/>
    <col collapsed="false" customWidth="true" hidden="false" outlineLevel="0" max="23" min="23" style="0" width="15.13"/>
    <col collapsed="false" customWidth="true" hidden="false" outlineLevel="0" max="24" min="24" style="0" width="10"/>
    <col collapsed="false" customWidth="true" hidden="false" outlineLevel="0" max="25" min="25" style="0" width="13.37"/>
    <col collapsed="false" customWidth="true" hidden="false" outlineLevel="0" max="26" min="26" style="0" width="17.37"/>
    <col collapsed="false" customWidth="true" hidden="false" outlineLevel="0" max="27" min="27" style="0" width="11.63"/>
  </cols>
  <sheetData>
    <row r="1" customFormat="false" ht="15.75" hidden="false" customHeight="false" outlineLevel="0" collapsed="false">
      <c r="A1" s="1" t="s">
        <v>0</v>
      </c>
      <c r="B1" s="1"/>
      <c r="C1" s="1"/>
      <c r="D1" s="1"/>
      <c r="E1" s="1"/>
      <c r="F1" s="1"/>
      <c r="G1" s="1"/>
      <c r="H1" s="1"/>
      <c r="I1" s="2"/>
      <c r="J1" s="2"/>
      <c r="K1" s="2"/>
      <c r="L1" s="2"/>
      <c r="M1" s="3" t="s">
        <v>1</v>
      </c>
      <c r="N1" s="3"/>
      <c r="O1" s="3"/>
      <c r="P1" s="3"/>
      <c r="Q1" s="3"/>
      <c r="R1" s="4" t="s">
        <v>2</v>
      </c>
      <c r="S1" s="4"/>
      <c r="T1" s="4"/>
      <c r="U1" s="4"/>
      <c r="V1" s="4"/>
      <c r="W1" s="5" t="s">
        <v>3</v>
      </c>
      <c r="X1" s="5"/>
      <c r="Y1" s="5"/>
      <c r="Z1" s="5"/>
      <c r="AA1" s="5"/>
    </row>
    <row r="2" s="11" customFormat="true" ht="15.75" hidden="false" customHeight="false" outlineLevel="0" collapsed="false">
      <c r="A2" s="6" t="s">
        <v>4</v>
      </c>
      <c r="B2" s="7" t="s">
        <v>5</v>
      </c>
      <c r="C2" s="7" t="s">
        <v>6</v>
      </c>
      <c r="D2" s="7" t="s">
        <v>7</v>
      </c>
      <c r="E2" s="7" t="s">
        <v>8</v>
      </c>
      <c r="F2" s="7" t="s">
        <v>3</v>
      </c>
      <c r="G2" s="7" t="s">
        <v>9</v>
      </c>
      <c r="H2" s="7" t="s">
        <v>10</v>
      </c>
      <c r="I2" s="6" t="s">
        <v>11</v>
      </c>
      <c r="J2" s="6" t="s">
        <v>12</v>
      </c>
      <c r="K2" s="6" t="s">
        <v>13</v>
      </c>
      <c r="L2" s="6" t="s">
        <v>14</v>
      </c>
      <c r="M2" s="8" t="s">
        <v>15</v>
      </c>
      <c r="N2" s="8" t="s">
        <v>16</v>
      </c>
      <c r="O2" s="8" t="s">
        <v>17</v>
      </c>
      <c r="P2" s="8" t="s">
        <v>18</v>
      </c>
      <c r="Q2" s="8" t="s">
        <v>19</v>
      </c>
      <c r="R2" s="9" t="s">
        <v>15</v>
      </c>
      <c r="S2" s="9" t="s">
        <v>16</v>
      </c>
      <c r="T2" s="9" t="s">
        <v>17</v>
      </c>
      <c r="U2" s="9" t="s">
        <v>18</v>
      </c>
      <c r="V2" s="9" t="s">
        <v>19</v>
      </c>
      <c r="W2" s="10" t="s">
        <v>15</v>
      </c>
      <c r="X2" s="10" t="s">
        <v>16</v>
      </c>
      <c r="Y2" s="10" t="s">
        <v>17</v>
      </c>
      <c r="Z2" s="10" t="s">
        <v>18</v>
      </c>
      <c r="AA2" s="10" t="s">
        <v>19</v>
      </c>
    </row>
    <row r="3" customFormat="false" ht="15.75" hidden="false" customHeight="false" outlineLevel="0" collapsed="false">
      <c r="A3" s="12" t="s">
        <v>20</v>
      </c>
      <c r="B3" s="13" t="n">
        <v>45839</v>
      </c>
      <c r="C3" s="13" t="n">
        <v>46203</v>
      </c>
      <c r="D3" s="14" t="n">
        <v>7.099</v>
      </c>
      <c r="E3" s="14" t="n">
        <v>7.086</v>
      </c>
      <c r="F3" s="14" t="n">
        <v>66.52</v>
      </c>
      <c r="G3" s="14" t="n">
        <v>0</v>
      </c>
      <c r="H3" s="14" t="n">
        <f aca="false">F3-G3</f>
        <v>66.52</v>
      </c>
      <c r="I3" s="15" t="n">
        <v>0.18</v>
      </c>
      <c r="J3" s="15" t="n">
        <v>0.0165</v>
      </c>
      <c r="K3" s="15" t="n">
        <v>0.076</v>
      </c>
      <c r="L3" s="15" t="n">
        <v>0.08</v>
      </c>
      <c r="M3" s="16" t="n">
        <f aca="false">($D3/(1-$I3))/(1-$L3)</f>
        <v>9.41012725344645</v>
      </c>
      <c r="N3" s="16" t="n">
        <f aca="false">M3*$I$3</f>
        <v>1.69382290562036</v>
      </c>
      <c r="O3" s="16" t="n">
        <f aca="false">M3*$J$3</f>
        <v>0.155267099681866</v>
      </c>
      <c r="P3" s="16" t="n">
        <f aca="false">M3*$K$3</f>
        <v>0.71516967126193</v>
      </c>
      <c r="Q3" s="16" t="n">
        <f aca="false">M3-O3-P3-N3</f>
        <v>6.84586757688229</v>
      </c>
      <c r="R3" s="17" t="n">
        <f aca="false">($E3/(1-$I3))/(1-$L3)</f>
        <v>9.39289501590668</v>
      </c>
      <c r="S3" s="17" t="n">
        <f aca="false">R3*$I3</f>
        <v>1.6907211028632</v>
      </c>
      <c r="T3" s="17" t="n">
        <f aca="false">R3*$J3</f>
        <v>0.15498276776246</v>
      </c>
      <c r="U3" s="17" t="n">
        <f aca="false">R3*$K3</f>
        <v>0.713860021208908</v>
      </c>
      <c r="V3" s="17" t="n">
        <f aca="false">R3-T3-U3-S3</f>
        <v>6.83333112407211</v>
      </c>
      <c r="W3" s="18" t="n">
        <f aca="false">($F3/(1-$I3))/(1-$L3)</f>
        <v>88.1760339342524</v>
      </c>
      <c r="X3" s="18" t="n">
        <f aca="false">W3*$I3</f>
        <v>15.8716861081654</v>
      </c>
      <c r="Y3" s="18" t="n">
        <f aca="false">W3*$J3</f>
        <v>1.45490455991516</v>
      </c>
      <c r="Z3" s="18" t="n">
        <f aca="false">W3*$K3</f>
        <v>6.70137857900318</v>
      </c>
      <c r="AA3" s="18" t="n">
        <f aca="false">W3-Y3-Z3-X3</f>
        <v>64.1480646871686</v>
      </c>
    </row>
    <row r="4" customFormat="false" ht="15.75" hidden="false" customHeight="false" outlineLevel="0" collapsed="false">
      <c r="A4" s="12" t="s">
        <v>20</v>
      </c>
      <c r="B4" s="13" t="n">
        <v>46204</v>
      </c>
      <c r="C4" s="13" t="n">
        <v>46568</v>
      </c>
      <c r="D4" s="14" t="n">
        <v>7.78</v>
      </c>
      <c r="E4" s="14" t="n">
        <v>7.82</v>
      </c>
      <c r="F4" s="14" t="n">
        <v>60.66</v>
      </c>
      <c r="G4" s="14" t="n">
        <v>0</v>
      </c>
      <c r="H4" s="14" t="n">
        <f aca="false">F4-G4</f>
        <v>60.66</v>
      </c>
      <c r="I4" s="15" t="n">
        <v>0.18</v>
      </c>
      <c r="J4" s="15" t="n">
        <v>0.0165</v>
      </c>
      <c r="K4" s="15" t="n">
        <v>0.076</v>
      </c>
      <c r="L4" s="15" t="n">
        <v>0.08</v>
      </c>
      <c r="M4" s="16" t="n">
        <f aca="false">($D4/(1-I4))/(1-L4)</f>
        <v>10.3128313891835</v>
      </c>
      <c r="N4" s="16" t="n">
        <f aca="false">M4*I4</f>
        <v>1.85630965005302</v>
      </c>
      <c r="O4" s="16" t="n">
        <f aca="false">M4*J4</f>
        <v>0.170161717921527</v>
      </c>
      <c r="P4" s="16" t="n">
        <f aca="false">M4*K4</f>
        <v>0.783775185577943</v>
      </c>
      <c r="Q4" s="16" t="n">
        <f aca="false">M4-O4-P4-N4</f>
        <v>7.50258483563096</v>
      </c>
      <c r="R4" s="17" t="n">
        <f aca="false">($E4/(1-$I4))/(1-$L4)</f>
        <v>10.3658536585366</v>
      </c>
      <c r="S4" s="17" t="n">
        <f aca="false">R4*$I4</f>
        <v>1.86585365853659</v>
      </c>
      <c r="T4" s="17" t="n">
        <f aca="false">R4*$J4</f>
        <v>0.171036585365854</v>
      </c>
      <c r="U4" s="17" t="n">
        <f aca="false">R4*$K4</f>
        <v>0.78780487804878</v>
      </c>
      <c r="V4" s="17" t="n">
        <f aca="false">R4-T4-U4-S4</f>
        <v>7.54115853658537</v>
      </c>
      <c r="W4" s="18" t="n">
        <f aca="false">($F4/(1-$I4))/(1-$L4)</f>
        <v>80.4082714740191</v>
      </c>
      <c r="X4" s="18" t="n">
        <f aca="false">W4*$I4</f>
        <v>14.4734888653234</v>
      </c>
      <c r="Y4" s="18" t="n">
        <f aca="false">W4*$J4</f>
        <v>1.32673647932131</v>
      </c>
      <c r="Z4" s="18" t="n">
        <f aca="false">W4*$K4</f>
        <v>6.11102863202545</v>
      </c>
      <c r="AA4" s="18" t="n">
        <f aca="false">W4-Y4-Z4-X4</f>
        <v>58.4970174973489</v>
      </c>
    </row>
    <row r="5" customFormat="false" ht="15.75" hidden="false" customHeight="false" outlineLevel="0" collapsed="false">
      <c r="A5" s="12" t="s">
        <v>21</v>
      </c>
      <c r="B5" s="13" t="n">
        <v>45870</v>
      </c>
      <c r="C5" s="13" t="n">
        <v>46234</v>
      </c>
      <c r="D5" s="14" t="n">
        <v>21.44</v>
      </c>
      <c r="E5" s="14" t="n">
        <v>9.83</v>
      </c>
      <c r="F5" s="14" t="n">
        <v>90.88</v>
      </c>
      <c r="G5" s="14" t="n">
        <v>13.33</v>
      </c>
      <c r="H5" s="14" t="n">
        <f aca="false">F5-G5</f>
        <v>77.55</v>
      </c>
      <c r="I5" s="15" t="n">
        <v>0.17</v>
      </c>
      <c r="J5" s="15" t="n">
        <v>0.0165</v>
      </c>
      <c r="K5" s="15" t="n">
        <v>0.076</v>
      </c>
      <c r="L5" s="15" t="n">
        <v>0.07</v>
      </c>
      <c r="M5" s="16" t="n">
        <f aca="false">($D5/(1-I5))/(1-L5)</f>
        <v>27.775618603446</v>
      </c>
      <c r="N5" s="16" t="n">
        <f aca="false">M5*I5</f>
        <v>4.72185516258583</v>
      </c>
      <c r="O5" s="16" t="n">
        <f aca="false">M5*J5</f>
        <v>0.45829770695686</v>
      </c>
      <c r="P5" s="16" t="n">
        <f aca="false">M5*K5</f>
        <v>2.1109470138619</v>
      </c>
      <c r="Q5" s="16" t="n">
        <f aca="false">M5-O5-P5-N5</f>
        <v>20.4845187200415</v>
      </c>
      <c r="R5" s="17" t="n">
        <f aca="false">($E5/(1-$I5))/(1-$L5)</f>
        <v>12.7348102085762</v>
      </c>
      <c r="S5" s="17" t="n">
        <f aca="false">R5*$I5</f>
        <v>2.16491773545796</v>
      </c>
      <c r="T5" s="17" t="n">
        <f aca="false">R5*$J5</f>
        <v>0.210124368441508</v>
      </c>
      <c r="U5" s="17" t="n">
        <f aca="false">R5*$K5</f>
        <v>0.967845575851794</v>
      </c>
      <c r="V5" s="17" t="n">
        <f aca="false">R5-T5-U5-S5</f>
        <v>9.39192252882498</v>
      </c>
      <c r="W5" s="18" t="n">
        <f aca="false">($F5/(1-$I5))/(1-$L5)</f>
        <v>117.735457960876</v>
      </c>
      <c r="X5" s="18" t="n">
        <f aca="false">W5*$I5</f>
        <v>20.0150278533489</v>
      </c>
      <c r="Y5" s="18" t="n">
        <f aca="false">W5*$J5</f>
        <v>1.94263505635445</v>
      </c>
      <c r="Z5" s="18" t="n">
        <f aca="false">W5*$K5</f>
        <v>8.94789480502656</v>
      </c>
      <c r="AA5" s="18" t="n">
        <f aca="false">W5-Y5-Z5-X5</f>
        <v>86.8299002461459</v>
      </c>
    </row>
    <row r="6" customFormat="false" ht="15.75" hidden="false" customHeight="false" outlineLevel="0" collapsed="false">
      <c r="A6" s="12" t="s">
        <v>21</v>
      </c>
      <c r="B6" s="13" t="n">
        <v>46235</v>
      </c>
      <c r="C6" s="13" t="n">
        <v>46599</v>
      </c>
      <c r="D6" s="14" t="n">
        <v>21.056063170366</v>
      </c>
      <c r="E6" s="14" t="n">
        <v>8.941315049406</v>
      </c>
      <c r="F6" s="14" t="n">
        <v>87.09763958347</v>
      </c>
      <c r="G6" s="14" t="n">
        <v>8.476974145454</v>
      </c>
      <c r="H6" s="14" t="n">
        <f aca="false">F6-G6</f>
        <v>78.620665438016</v>
      </c>
      <c r="I6" s="15" t="n">
        <v>0.17</v>
      </c>
      <c r="J6" s="15" t="n">
        <v>0.0165</v>
      </c>
      <c r="K6" s="15" t="n">
        <v>0.076</v>
      </c>
      <c r="L6" s="15" t="n">
        <v>0.07</v>
      </c>
      <c r="M6" s="16" t="n">
        <f aca="false">($D6/(1-I6))/(1-L6)</f>
        <v>27.2782266749139</v>
      </c>
      <c r="N6" s="16" t="n">
        <f aca="false">M6*I6</f>
        <v>4.63729853473536</v>
      </c>
      <c r="O6" s="16" t="n">
        <f aca="false">M6*J6</f>
        <v>0.450090740136079</v>
      </c>
      <c r="P6" s="16" t="n">
        <f aca="false">M6*K6</f>
        <v>2.07314522729345</v>
      </c>
      <c r="Q6" s="16" t="n">
        <f aca="false">M6-O6-P6-N6</f>
        <v>20.117692172749</v>
      </c>
      <c r="R6" s="17" t="n">
        <f aca="false">($E6/(1-$I6))/(1-$L6)</f>
        <v>11.5835147679829</v>
      </c>
      <c r="S6" s="17" t="n">
        <f aca="false">R6*$I6</f>
        <v>1.96919751055709</v>
      </c>
      <c r="T6" s="17" t="n">
        <f aca="false">R6*$J6</f>
        <v>0.191127993671718</v>
      </c>
      <c r="U6" s="17" t="n">
        <f aca="false">R6*$K6</f>
        <v>0.8803471223667</v>
      </c>
      <c r="V6" s="17" t="n">
        <f aca="false">R6-T6-U6-S6</f>
        <v>8.54284214138739</v>
      </c>
      <c r="W6" s="18" t="n">
        <f aca="false">($F6/(1-$I6))/(1-$L6)</f>
        <v>112.835392646029</v>
      </c>
      <c r="X6" s="18" t="n">
        <f aca="false">W6*$I6</f>
        <v>19.182016749825</v>
      </c>
      <c r="Y6" s="18" t="n">
        <f aca="false">W6*$J6</f>
        <v>1.86178397865948</v>
      </c>
      <c r="Z6" s="18" t="n">
        <f aca="false">W6*$K6</f>
        <v>8.57548984109823</v>
      </c>
      <c r="AA6" s="18" t="n">
        <f aca="false">W6-Y6-Z6-X6</f>
        <v>83.2161020764466</v>
      </c>
    </row>
    <row r="7" customFormat="false" ht="15.75" hidden="false" customHeight="false" outlineLevel="0" collapsed="false">
      <c r="A7" s="12" t="s">
        <v>22</v>
      </c>
      <c r="B7" s="13" t="n">
        <v>45839</v>
      </c>
      <c r="C7" s="13" t="n">
        <v>46203</v>
      </c>
      <c r="D7" s="14" t="n">
        <v>15.96</v>
      </c>
      <c r="E7" s="14" t="n">
        <v>8.58</v>
      </c>
      <c r="F7" s="14" t="n">
        <v>83.19</v>
      </c>
      <c r="G7" s="14" t="n">
        <v>12.754801149637</v>
      </c>
      <c r="H7" s="14" t="n">
        <f aca="false">F7-G7</f>
        <v>70.435198850363</v>
      </c>
      <c r="I7" s="15" t="n">
        <v>0</v>
      </c>
      <c r="J7" s="15" t="n">
        <v>0.0165</v>
      </c>
      <c r="K7" s="15" t="n">
        <v>0.076</v>
      </c>
      <c r="L7" s="15" t="n">
        <v>0.07</v>
      </c>
      <c r="M7" s="16" t="n">
        <f aca="false">($D7/(1-I7))/(1-L7)</f>
        <v>17.1612903225806</v>
      </c>
      <c r="N7" s="16" t="n">
        <f aca="false">M7*I7</f>
        <v>0</v>
      </c>
      <c r="O7" s="16" t="n">
        <f aca="false">M7*J7</f>
        <v>0.283161290322581</v>
      </c>
      <c r="P7" s="16" t="n">
        <f aca="false">M7*K7</f>
        <v>1.30425806451613</v>
      </c>
      <c r="Q7" s="16" t="n">
        <f aca="false">M7-O7-P7-N7</f>
        <v>15.5738709677419</v>
      </c>
      <c r="R7" s="17" t="n">
        <f aca="false">($E7/(1-$I7))/(1-$L7)</f>
        <v>9.2258064516129</v>
      </c>
      <c r="S7" s="17" t="n">
        <f aca="false">R7*$I7</f>
        <v>0</v>
      </c>
      <c r="T7" s="17" t="n">
        <f aca="false">R7*$J7</f>
        <v>0.152225806451613</v>
      </c>
      <c r="U7" s="17" t="n">
        <f aca="false">R7*$K7</f>
        <v>0.701161290322581</v>
      </c>
      <c r="V7" s="17" t="n">
        <f aca="false">R7-T7-U7-S7</f>
        <v>8.37241935483871</v>
      </c>
      <c r="W7" s="18" t="n">
        <f aca="false">($F7/(1-$I7))/(1-$L7)</f>
        <v>89.4516129032258</v>
      </c>
      <c r="X7" s="18" t="n">
        <f aca="false">W7*$I7</f>
        <v>0</v>
      </c>
      <c r="Y7" s="18" t="n">
        <f aca="false">W7*$J7</f>
        <v>1.47595161290323</v>
      </c>
      <c r="Z7" s="18" t="n">
        <f aca="false">W7*$K7</f>
        <v>6.79832258064516</v>
      </c>
      <c r="AA7" s="18" t="n">
        <f aca="false">W7-Y7-Z7-X7</f>
        <v>81.1773387096774</v>
      </c>
    </row>
    <row r="8" customFormat="false" ht="15.75" hidden="false" customHeight="false" outlineLevel="0" collapsed="false">
      <c r="A8" s="12" t="s">
        <v>22</v>
      </c>
      <c r="B8" s="13" t="n">
        <v>46204</v>
      </c>
      <c r="C8" s="13" t="n">
        <v>46568</v>
      </c>
      <c r="D8" s="14" t="n">
        <v>29.665248361175</v>
      </c>
      <c r="E8" s="14" t="n">
        <v>11.691941870904</v>
      </c>
      <c r="F8" s="14" t="n">
        <v>84.428166419261</v>
      </c>
      <c r="G8" s="14" t="n">
        <v>9.987764162494</v>
      </c>
      <c r="H8" s="14" t="n">
        <f aca="false">F8-G8</f>
        <v>74.440402256767</v>
      </c>
      <c r="I8" s="15" t="n">
        <v>0</v>
      </c>
      <c r="J8" s="15" t="n">
        <v>0.0165</v>
      </c>
      <c r="K8" s="15" t="n">
        <v>0.076</v>
      </c>
      <c r="L8" s="15" t="n">
        <v>0.07</v>
      </c>
      <c r="M8" s="16" t="n">
        <f aca="false">($D8/(1-I8))/(1-L8)</f>
        <v>31.8981165173925</v>
      </c>
      <c r="N8" s="16" t="n">
        <f aca="false">M8*I8</f>
        <v>0</v>
      </c>
      <c r="O8" s="16" t="n">
        <f aca="false">M8*J8</f>
        <v>0.526318922536976</v>
      </c>
      <c r="P8" s="16" t="n">
        <f aca="false">M8*K8</f>
        <v>2.42425685532183</v>
      </c>
      <c r="Q8" s="16" t="n">
        <f aca="false">M8-O8-P8-N8</f>
        <v>28.9475407395337</v>
      </c>
      <c r="R8" s="17" t="n">
        <f aca="false">($E8/(1-$I8))/(1-$L8)</f>
        <v>12.5719805063484</v>
      </c>
      <c r="S8" s="17" t="n">
        <f aca="false">R8*$I8</f>
        <v>0</v>
      </c>
      <c r="T8" s="17" t="n">
        <f aca="false">R8*$J8</f>
        <v>0.207437678354748</v>
      </c>
      <c r="U8" s="17" t="n">
        <f aca="false">R8*$K8</f>
        <v>0.955470518482477</v>
      </c>
      <c r="V8" s="17" t="n">
        <f aca="false">R8-T8-U8-S8</f>
        <v>11.4090723095112</v>
      </c>
      <c r="W8" s="18" t="n">
        <f aca="false">($F8/(1-$I8))/(1-$L8)</f>
        <v>90.7829746443667</v>
      </c>
      <c r="X8" s="18" t="n">
        <f aca="false">W8*$I8</f>
        <v>0</v>
      </c>
      <c r="Y8" s="18" t="n">
        <f aca="false">W8*$J8</f>
        <v>1.49791908163205</v>
      </c>
      <c r="Z8" s="18" t="n">
        <f aca="false">W8*$K8</f>
        <v>6.89950607297187</v>
      </c>
      <c r="AA8" s="18" t="n">
        <f aca="false">W8-Y8-Z8-X8</f>
        <v>82.3855494897628</v>
      </c>
    </row>
    <row r="9" customFormat="false" ht="15.75" hidden="false" customHeight="false" outlineLevel="0" collapsed="false">
      <c r="M9" s="19" t="s">
        <v>23</v>
      </c>
      <c r="N9" s="19"/>
      <c r="O9" s="19"/>
      <c r="P9" s="19"/>
      <c r="Q9" s="19"/>
      <c r="R9" s="19"/>
      <c r="S9" s="19"/>
      <c r="T9" s="19"/>
      <c r="U9" s="19"/>
      <c r="V9" s="19"/>
      <c r="W9" s="19"/>
      <c r="X9" s="19"/>
      <c r="Y9" s="19"/>
      <c r="Z9" s="19"/>
      <c r="AA9" s="19"/>
    </row>
    <row r="10" customFormat="false" ht="15.75" hidden="false" customHeight="false" outlineLevel="0" collapsed="false">
      <c r="A10" s="20" t="s">
        <v>24</v>
      </c>
      <c r="B10" s="20"/>
      <c r="C10" s="20"/>
      <c r="D10" s="20"/>
      <c r="E10" s="20"/>
      <c r="F10" s="20"/>
      <c r="G10" s="20"/>
      <c r="H10" s="20"/>
    </row>
    <row r="11" customFormat="false" ht="15.75" hidden="false" customHeight="false" outlineLevel="0" collapsed="false">
      <c r="A11" s="7" t="s">
        <v>25</v>
      </c>
      <c r="B11" s="21" t="s">
        <v>26</v>
      </c>
      <c r="C11" s="21" t="s">
        <v>27</v>
      </c>
      <c r="D11" s="21" t="s">
        <v>28</v>
      </c>
      <c r="E11" s="21" t="s">
        <v>29</v>
      </c>
      <c r="F11" s="21" t="s">
        <v>30</v>
      </c>
      <c r="G11" s="21" t="s">
        <v>31</v>
      </c>
      <c r="H11" s="21" t="s">
        <v>32</v>
      </c>
      <c r="I11" s="22" t="s">
        <v>33</v>
      </c>
    </row>
    <row r="12" customFormat="false" ht="15.75" hidden="false" customHeight="false" outlineLevel="0" collapsed="false">
      <c r="A12" s="23" t="s">
        <v>34</v>
      </c>
      <c r="B12" s="13" t="n">
        <v>44317</v>
      </c>
      <c r="C12" s="23" t="n">
        <v>142.59</v>
      </c>
      <c r="D12" s="24" t="n">
        <v>0.276</v>
      </c>
      <c r="E12" s="24" t="n">
        <v>0.0235</v>
      </c>
      <c r="F12" s="24" t="n">
        <f aca="false">D12+E12</f>
        <v>0.2995</v>
      </c>
      <c r="G12" s="14" t="n">
        <f aca="false">(C12)+(C12*F12)</f>
        <v>185.295705</v>
      </c>
      <c r="H12" s="23" t="n">
        <v>80</v>
      </c>
      <c r="I12" s="25" t="n">
        <f aca="false">H12*G12</f>
        <v>14823.6564</v>
      </c>
    </row>
    <row r="13" customFormat="false" ht="15.75" hidden="false" customHeight="false" outlineLevel="0" collapsed="false">
      <c r="A13" s="23" t="s">
        <v>35</v>
      </c>
      <c r="B13" s="13" t="n">
        <v>45231</v>
      </c>
      <c r="C13" s="23" t="n">
        <v>152.88</v>
      </c>
      <c r="D13" s="24" t="n">
        <v>0.0874</v>
      </c>
      <c r="E13" s="24" t="n">
        <v>0.0199</v>
      </c>
      <c r="F13" s="24" t="n">
        <f aca="false">D13+E13</f>
        <v>0.1073</v>
      </c>
      <c r="G13" s="14" t="n">
        <f aca="false">(C13)+(C13*F13)</f>
        <v>169.284024</v>
      </c>
      <c r="H13" s="23" t="n">
        <v>10</v>
      </c>
      <c r="I13" s="25" t="n">
        <f aca="false">H13*G13</f>
        <v>1692.84024</v>
      </c>
    </row>
    <row r="14" customFormat="false" ht="15.75" hidden="false" customHeight="false" outlineLevel="0" collapsed="false">
      <c r="A14" s="23" t="s">
        <v>36</v>
      </c>
      <c r="B14" s="13" t="n">
        <v>45323</v>
      </c>
      <c r="C14" s="23" t="n">
        <v>159.2</v>
      </c>
      <c r="D14" s="24" t="n">
        <v>0.0679</v>
      </c>
      <c r="E14" s="24" t="n">
        <v>0.0196</v>
      </c>
      <c r="F14" s="24" t="n">
        <f aca="false">D14+E14</f>
        <v>0.0875</v>
      </c>
      <c r="G14" s="14" t="n">
        <f aca="false">(C14)+(C14*F14)</f>
        <v>173.13</v>
      </c>
      <c r="H14" s="23" t="n">
        <v>20</v>
      </c>
      <c r="I14" s="25" t="n">
        <f aca="false">H14*G14</f>
        <v>3462.6</v>
      </c>
    </row>
    <row r="15" customFormat="false" ht="15.75" hidden="false" customHeight="false" outlineLevel="0" collapsed="false">
      <c r="A15" s="23" t="s">
        <v>37</v>
      </c>
      <c r="B15" s="13" t="n">
        <v>45383</v>
      </c>
      <c r="C15" s="23" t="n">
        <v>143.4</v>
      </c>
      <c r="D15" s="24" t="n">
        <v>0.0622</v>
      </c>
      <c r="E15" s="24" t="n">
        <v>0.0195</v>
      </c>
      <c r="F15" s="24" t="n">
        <f aca="false">D15+E15</f>
        <v>0.0817</v>
      </c>
      <c r="G15" s="14" t="n">
        <f aca="false">(C15)+(C15*F15)</f>
        <v>155.11578</v>
      </c>
      <c r="H15" s="23" t="n">
        <v>20</v>
      </c>
      <c r="I15" s="25" t="n">
        <f aca="false">H15*G15</f>
        <v>3102.3156</v>
      </c>
    </row>
    <row r="16" customFormat="false" ht="15.75" hidden="false" customHeight="false" outlineLevel="0" collapsed="false">
      <c r="I16" s="26" t="n">
        <f aca="false">SUM(I12:I15)/SUM(H12:H15)</f>
        <v>177.549324923077</v>
      </c>
    </row>
    <row r="18" customFormat="false" ht="15.75" hidden="false" customHeight="false" outlineLevel="0" collapsed="false">
      <c r="A18" s="27" t="s">
        <v>38</v>
      </c>
    </row>
    <row r="20" customFormat="false" ht="15.75" hidden="false" customHeight="false" outlineLevel="0" collapsed="false">
      <c r="A20" s="28" t="s">
        <v>23</v>
      </c>
    </row>
    <row r="21" customFormat="false" ht="15.75" hidden="false" customHeight="false" outlineLevel="0" collapsed="false">
      <c r="A21" s="29" t="s">
        <v>39</v>
      </c>
      <c r="B21" s="29"/>
      <c r="C21" s="21" t="s">
        <v>11</v>
      </c>
      <c r="D21" s="21" t="s">
        <v>12</v>
      </c>
      <c r="E21" s="21" t="s">
        <v>13</v>
      </c>
      <c r="F21" s="21" t="s">
        <v>40</v>
      </c>
      <c r="G21" s="29" t="s">
        <v>41</v>
      </c>
      <c r="H21" s="29" t="s">
        <v>16</v>
      </c>
      <c r="I21" s="29" t="s">
        <v>42</v>
      </c>
      <c r="J21" s="29" t="s">
        <v>43</v>
      </c>
      <c r="K21" s="29" t="s">
        <v>19</v>
      </c>
    </row>
    <row r="22" customFormat="false" ht="15.75" hidden="false" customHeight="false" outlineLevel="0" collapsed="false">
      <c r="A22" s="30" t="s">
        <v>44</v>
      </c>
      <c r="B22" s="31" t="n">
        <f aca="false">$I$16</f>
        <v>177.549324923077</v>
      </c>
      <c r="C22" s="24" t="n">
        <v>0.18</v>
      </c>
      <c r="D22" s="24" t="n">
        <v>0.0165</v>
      </c>
      <c r="E22" s="24" t="n">
        <v>0.076</v>
      </c>
      <c r="F22" s="24" t="n">
        <v>0.0216</v>
      </c>
      <c r="G22" s="31" t="n">
        <f aca="false">(B22/(1-F22))/(1-C22)</f>
        <v>221.303727493216</v>
      </c>
      <c r="H22" s="31" t="n">
        <f aca="false">G22*C22</f>
        <v>39.8346709487788</v>
      </c>
      <c r="I22" s="31" t="n">
        <f aca="false">G22*D22</f>
        <v>3.65151150363806</v>
      </c>
      <c r="J22" s="31" t="n">
        <f aca="false">G22*E22</f>
        <v>16.8190832894844</v>
      </c>
      <c r="K22" s="31" t="n">
        <f aca="false">G22-I22-J22-H22</f>
        <v>160.998461751314</v>
      </c>
    </row>
    <row r="23" customFormat="false" ht="15.75" hidden="false" customHeight="false" outlineLevel="0" collapsed="false">
      <c r="A23" s="30" t="s">
        <v>45</v>
      </c>
      <c r="B23" s="31" t="n">
        <f aca="false">$I$16</f>
        <v>177.549324923077</v>
      </c>
      <c r="C23" s="24" t="n">
        <v>0.17</v>
      </c>
      <c r="D23" s="24" t="n">
        <v>0.0165</v>
      </c>
      <c r="E23" s="24" t="n">
        <v>0.076</v>
      </c>
      <c r="F23" s="24" t="n">
        <v>0.0216</v>
      </c>
      <c r="G23" s="31" t="n">
        <f aca="false">(B23/(1-F23))/(1-C23)</f>
        <v>218.637417523418</v>
      </c>
      <c r="H23" s="31" t="n">
        <f aca="false">G23*C23</f>
        <v>37.168360978981</v>
      </c>
      <c r="I23" s="31" t="n">
        <f aca="false">G23*D23</f>
        <v>3.60751738913639</v>
      </c>
      <c r="J23" s="31" t="n">
        <f aca="false">G23*E23</f>
        <v>16.6164437317798</v>
      </c>
      <c r="K23" s="31" t="n">
        <f aca="false">G23-I23-J23-H23</f>
        <v>161.245095423521</v>
      </c>
    </row>
    <row r="25" customFormat="false" ht="15.75" hidden="false" customHeight="true" outlineLevel="0" collapsed="false">
      <c r="A25" s="32" t="s">
        <v>46</v>
      </c>
      <c r="B25" s="32"/>
      <c r="C25" s="32"/>
      <c r="D25" s="32"/>
      <c r="E25" s="32"/>
      <c r="F25" s="32"/>
    </row>
    <row r="26" customFormat="false" ht="15.75" hidden="false" customHeight="false" outlineLevel="0" collapsed="false">
      <c r="A26" s="32"/>
      <c r="B26" s="32"/>
      <c r="C26" s="32"/>
      <c r="D26" s="32"/>
      <c r="E26" s="32"/>
      <c r="F26" s="32"/>
    </row>
    <row r="27" customFormat="false" ht="15.75" hidden="false" customHeight="false" outlineLevel="0" collapsed="false">
      <c r="A27" s="32"/>
      <c r="B27" s="32"/>
      <c r="C27" s="32"/>
      <c r="D27" s="32"/>
      <c r="E27" s="32"/>
      <c r="F27" s="32"/>
    </row>
    <row r="28" customFormat="false" ht="15.75" hidden="false" customHeight="false" outlineLevel="0" collapsed="false">
      <c r="A28" s="32"/>
      <c r="B28" s="32"/>
      <c r="C28" s="32"/>
      <c r="D28" s="32"/>
      <c r="E28" s="32"/>
      <c r="F28" s="32"/>
    </row>
    <row r="29" customFormat="false" ht="15.75" hidden="false" customHeight="false" outlineLevel="0" collapsed="false">
      <c r="A29" s="32"/>
      <c r="B29" s="32"/>
      <c r="C29" s="32"/>
      <c r="D29" s="32"/>
      <c r="E29" s="32"/>
      <c r="F29" s="32"/>
    </row>
    <row r="30" customFormat="false" ht="15.75" hidden="false" customHeight="false" outlineLevel="0" collapsed="false">
      <c r="A30" s="32"/>
      <c r="B30" s="32"/>
      <c r="C30" s="32"/>
      <c r="D30" s="32"/>
      <c r="E30" s="32"/>
      <c r="F30" s="32"/>
    </row>
    <row r="31" customFormat="false" ht="15.75" hidden="false" customHeight="false" outlineLevel="0" collapsed="false">
      <c r="A31" s="32"/>
      <c r="B31" s="32"/>
      <c r="C31" s="32"/>
      <c r="D31" s="32"/>
      <c r="E31" s="32"/>
      <c r="F31" s="32"/>
    </row>
    <row r="32" customFormat="false" ht="15.75" hidden="false" customHeight="false" outlineLevel="0" collapsed="false">
      <c r="A32" s="32"/>
      <c r="B32" s="32"/>
      <c r="C32" s="32"/>
      <c r="D32" s="32"/>
      <c r="E32" s="32"/>
      <c r="F32" s="32"/>
    </row>
  </sheetData>
  <mergeCells count="7">
    <mergeCell ref="A1:H1"/>
    <mergeCell ref="M1:Q1"/>
    <mergeCell ref="R1:V1"/>
    <mergeCell ref="W1:AA1"/>
    <mergeCell ref="M9:AA9"/>
    <mergeCell ref="A10:H10"/>
    <mergeCell ref="A25:F3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22"/>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D3" activeCellId="0" sqref="D3"/>
    </sheetView>
  </sheetViews>
  <sheetFormatPr defaultColWidth="11" defaultRowHeight="15.75" zeroHeight="false" outlineLevelRow="0" outlineLevelCol="0"/>
  <cols>
    <col collapsed="false" customWidth="true" hidden="false" outlineLevel="0" max="2" min="2" style="0" width="19.12"/>
    <col collapsed="false" customWidth="true" hidden="false" outlineLevel="0" max="3" min="3" style="0" width="18.13"/>
    <col collapsed="false" customWidth="true" hidden="false" outlineLevel="0" max="4" min="4" style="0" width="14.5"/>
  </cols>
  <sheetData>
    <row r="1" customFormat="false" ht="15.75" hidden="false" customHeight="true" outlineLevel="0" collapsed="false">
      <c r="A1" s="33" t="s">
        <v>44</v>
      </c>
      <c r="B1" s="33"/>
      <c r="C1" s="33"/>
      <c r="D1" s="33"/>
      <c r="E1" s="34" t="s">
        <v>47</v>
      </c>
      <c r="F1" s="34" t="s">
        <v>48</v>
      </c>
      <c r="G1" s="34" t="s">
        <v>49</v>
      </c>
      <c r="H1" s="34" t="s">
        <v>50</v>
      </c>
      <c r="I1" s="34" t="s">
        <v>51</v>
      </c>
      <c r="J1" s="34" t="s">
        <v>52</v>
      </c>
      <c r="K1" s="34" t="s">
        <v>53</v>
      </c>
      <c r="L1" s="34" t="s">
        <v>54</v>
      </c>
      <c r="M1" s="34" t="s">
        <v>55</v>
      </c>
      <c r="N1" s="34" t="s">
        <v>56</v>
      </c>
      <c r="O1" s="34" t="s">
        <v>57</v>
      </c>
      <c r="P1" s="34" t="s">
        <v>58</v>
      </c>
    </row>
    <row r="2" customFormat="false" ht="15.75" hidden="false" customHeight="false" outlineLevel="0" collapsed="false">
      <c r="A2" s="33" t="s">
        <v>59</v>
      </c>
      <c r="B2" s="33" t="s">
        <v>60</v>
      </c>
      <c r="C2" s="33" t="s">
        <v>61</v>
      </c>
      <c r="D2" s="33" t="s">
        <v>62</v>
      </c>
      <c r="E2" s="34"/>
      <c r="F2" s="34"/>
      <c r="G2" s="34"/>
      <c r="H2" s="34"/>
      <c r="I2" s="34"/>
      <c r="J2" s="34"/>
      <c r="K2" s="34"/>
      <c r="L2" s="34"/>
      <c r="M2" s="34"/>
      <c r="N2" s="34"/>
      <c r="O2" s="34"/>
      <c r="P2" s="34"/>
    </row>
    <row r="3" customFormat="false" ht="15.75" hidden="false" customHeight="false" outlineLevel="0" collapsed="false">
      <c r="A3" s="35" t="s">
        <v>63</v>
      </c>
      <c r="B3" s="35" t="s">
        <v>64</v>
      </c>
      <c r="C3" s="35" t="s">
        <v>65</v>
      </c>
      <c r="D3" s="35" t="n">
        <v>50610003</v>
      </c>
      <c r="E3" s="16" t="n">
        <f aca="false">'1Tarifas Distribuidoras - INPUT'!$Q$3</f>
        <v>6.84586757688229</v>
      </c>
      <c r="F3" s="16" t="n">
        <f aca="false">'1Tarifas Distribuidoras - INPUT'!$Q$3</f>
        <v>6.84586757688229</v>
      </c>
      <c r="G3" s="16" t="n">
        <f aca="false">'1Tarifas Distribuidoras - INPUT'!$Q$3</f>
        <v>6.84586757688229</v>
      </c>
      <c r="H3" s="16" t="n">
        <f aca="false">'1Tarifas Distribuidoras - INPUT'!$Q$3</f>
        <v>6.84586757688229</v>
      </c>
      <c r="I3" s="16" t="n">
        <f aca="false">'1Tarifas Distribuidoras - INPUT'!$Q$3</f>
        <v>6.84586757688229</v>
      </c>
      <c r="J3" s="16" t="n">
        <f aca="false">'1Tarifas Distribuidoras - INPUT'!$Q$3</f>
        <v>6.84586757688229</v>
      </c>
      <c r="K3" s="16" t="n">
        <f aca="false">'1Tarifas Distribuidoras - INPUT'!$Q$4</f>
        <v>7.50258483563096</v>
      </c>
      <c r="L3" s="16" t="n">
        <f aca="false">'1Tarifas Distribuidoras - INPUT'!$Q$4</f>
        <v>7.50258483563096</v>
      </c>
      <c r="M3" s="16" t="n">
        <f aca="false">'1Tarifas Distribuidoras - INPUT'!$Q$4</f>
        <v>7.50258483563096</v>
      </c>
      <c r="N3" s="16" t="n">
        <f aca="false">'1Tarifas Distribuidoras - INPUT'!$Q$4</f>
        <v>7.50258483563096</v>
      </c>
      <c r="O3" s="16" t="n">
        <f aca="false">'1Tarifas Distribuidoras - INPUT'!$Q$4</f>
        <v>7.50258483563096</v>
      </c>
      <c r="P3" s="16" t="n">
        <f aca="false">'1Tarifas Distribuidoras - INPUT'!$Q$4</f>
        <v>7.50258483563096</v>
      </c>
    </row>
    <row r="4" customFormat="false" ht="15.75" hidden="false" customHeight="false" outlineLevel="0" collapsed="false">
      <c r="A4" s="35" t="s">
        <v>63</v>
      </c>
      <c r="B4" s="35" t="s">
        <v>64</v>
      </c>
      <c r="C4" s="35" t="s">
        <v>66</v>
      </c>
      <c r="D4" s="35" t="n">
        <v>50610003</v>
      </c>
      <c r="E4" s="16" t="n">
        <f aca="false">'1Tarifas Distribuidoras - INPUT'!$V$3</f>
        <v>6.83333112407211</v>
      </c>
      <c r="F4" s="16" t="n">
        <f aca="false">'1Tarifas Distribuidoras - INPUT'!$V$3</f>
        <v>6.83333112407211</v>
      </c>
      <c r="G4" s="16" t="n">
        <f aca="false">'1Tarifas Distribuidoras - INPUT'!$V$3</f>
        <v>6.83333112407211</v>
      </c>
      <c r="H4" s="16" t="n">
        <f aca="false">'1Tarifas Distribuidoras - INPUT'!$V$3</f>
        <v>6.83333112407211</v>
      </c>
      <c r="I4" s="16" t="n">
        <f aca="false">'1Tarifas Distribuidoras - INPUT'!$V$3</f>
        <v>6.83333112407211</v>
      </c>
      <c r="J4" s="16" t="n">
        <f aca="false">'1Tarifas Distribuidoras - INPUT'!$V$3</f>
        <v>6.83333112407211</v>
      </c>
      <c r="K4" s="16" t="n">
        <f aca="false">'1Tarifas Distribuidoras - INPUT'!$V$4</f>
        <v>7.54115853658537</v>
      </c>
      <c r="L4" s="16" t="n">
        <f aca="false">'1Tarifas Distribuidoras - INPUT'!$V$4</f>
        <v>7.54115853658537</v>
      </c>
      <c r="M4" s="16" t="n">
        <f aca="false">'1Tarifas Distribuidoras - INPUT'!$V$4</f>
        <v>7.54115853658537</v>
      </c>
      <c r="N4" s="16" t="n">
        <f aca="false">'1Tarifas Distribuidoras - INPUT'!$V$4</f>
        <v>7.54115853658537</v>
      </c>
      <c r="O4" s="16" t="n">
        <f aca="false">'1Tarifas Distribuidoras - INPUT'!$V$4</f>
        <v>7.54115853658537</v>
      </c>
      <c r="P4" s="16" t="n">
        <f aca="false">'1Tarifas Distribuidoras - INPUT'!$V$4</f>
        <v>7.54115853658537</v>
      </c>
    </row>
    <row r="5" customFormat="false" ht="15.75" hidden="false" customHeight="false" outlineLevel="0" collapsed="false">
      <c r="A5" s="35" t="s">
        <v>63</v>
      </c>
      <c r="B5" s="35" t="s">
        <v>67</v>
      </c>
      <c r="C5" s="36" t="s">
        <v>68</v>
      </c>
      <c r="D5" s="35" t="n">
        <v>50610006</v>
      </c>
      <c r="E5" s="16" t="n">
        <f aca="false">'1Tarifas Distribuidoras - INPUT'!$AA$3</f>
        <v>64.1480646871686</v>
      </c>
      <c r="F5" s="16" t="n">
        <f aca="false">'1Tarifas Distribuidoras - INPUT'!$AA$3</f>
        <v>64.1480646871686</v>
      </c>
      <c r="G5" s="16" t="n">
        <f aca="false">'1Tarifas Distribuidoras - INPUT'!$AA$3</f>
        <v>64.1480646871686</v>
      </c>
      <c r="H5" s="16" t="n">
        <f aca="false">'1Tarifas Distribuidoras - INPUT'!$AA$3</f>
        <v>64.1480646871686</v>
      </c>
      <c r="I5" s="16" t="n">
        <f aca="false">'1Tarifas Distribuidoras - INPUT'!$AA$3</f>
        <v>64.1480646871686</v>
      </c>
      <c r="J5" s="16" t="n">
        <f aca="false">'1Tarifas Distribuidoras - INPUT'!$AA$4</f>
        <v>58.4970174973489</v>
      </c>
      <c r="K5" s="16" t="n">
        <f aca="false">'1Tarifas Distribuidoras - INPUT'!$AA$4</f>
        <v>58.4970174973489</v>
      </c>
      <c r="L5" s="16" t="n">
        <f aca="false">'1Tarifas Distribuidoras - INPUT'!$AA$4</f>
        <v>58.4970174973489</v>
      </c>
      <c r="M5" s="16" t="n">
        <f aca="false">'1Tarifas Distribuidoras - INPUT'!$AA$4</f>
        <v>58.4970174973489</v>
      </c>
      <c r="N5" s="16" t="n">
        <f aca="false">'1Tarifas Distribuidoras - INPUT'!$AA$4</f>
        <v>58.4970174973489</v>
      </c>
      <c r="O5" s="16" t="n">
        <f aca="false">'1Tarifas Distribuidoras - INPUT'!$AA$4</f>
        <v>58.4970174973489</v>
      </c>
      <c r="P5" s="16" t="n">
        <f aca="false">'1Tarifas Distribuidoras - INPUT'!$AA$4</f>
        <v>58.4970174973489</v>
      </c>
    </row>
    <row r="6" customFormat="false" ht="15.75" hidden="false" customHeight="false" outlineLevel="0" collapsed="false">
      <c r="A6" s="35" t="s">
        <v>63</v>
      </c>
      <c r="B6" s="35" t="s">
        <v>67</v>
      </c>
      <c r="C6" s="36" t="s">
        <v>69</v>
      </c>
      <c r="D6" s="35" t="n">
        <v>50610006</v>
      </c>
      <c r="E6" s="35" t="n">
        <f aca="false">'1Tarifas Distribuidoras - INPUT'!$H$3</f>
        <v>66.52</v>
      </c>
      <c r="F6" s="35" t="n">
        <f aca="false">'1Tarifas Distribuidoras - INPUT'!$H$3</f>
        <v>66.52</v>
      </c>
      <c r="G6" s="35" t="n">
        <f aca="false">'1Tarifas Distribuidoras - INPUT'!$H$3</f>
        <v>66.52</v>
      </c>
      <c r="H6" s="35" t="n">
        <f aca="false">'1Tarifas Distribuidoras - INPUT'!$H$3</f>
        <v>66.52</v>
      </c>
      <c r="I6" s="35" t="n">
        <f aca="false">'1Tarifas Distribuidoras - INPUT'!$H$3</f>
        <v>66.52</v>
      </c>
      <c r="J6" s="35" t="n">
        <f aca="false">'1Tarifas Distribuidoras - INPUT'!$H$3</f>
        <v>66.52</v>
      </c>
      <c r="K6" s="35" t="n">
        <f aca="false">'1Tarifas Distribuidoras - INPUT'!$H$4</f>
        <v>60.66</v>
      </c>
      <c r="L6" s="35" t="n">
        <f aca="false">'1Tarifas Distribuidoras - INPUT'!$H$4</f>
        <v>60.66</v>
      </c>
      <c r="M6" s="35" t="n">
        <f aca="false">'1Tarifas Distribuidoras - INPUT'!$H$4</f>
        <v>60.66</v>
      </c>
      <c r="N6" s="35" t="n">
        <f aca="false">'1Tarifas Distribuidoras - INPUT'!$H$4</f>
        <v>60.66</v>
      </c>
      <c r="O6" s="35" t="n">
        <f aca="false">'1Tarifas Distribuidoras - INPUT'!$H$4</f>
        <v>60.66</v>
      </c>
      <c r="P6" s="35" t="n">
        <f aca="false">'1Tarifas Distribuidoras - INPUT'!$H$4</f>
        <v>60.66</v>
      </c>
    </row>
    <row r="7" customFormat="false" ht="15.75" hidden="false" customHeight="false" outlineLevel="0" collapsed="false">
      <c r="A7" s="35" t="s">
        <v>63</v>
      </c>
      <c r="B7" s="35" t="s">
        <v>67</v>
      </c>
      <c r="C7" s="36" t="s">
        <v>70</v>
      </c>
      <c r="D7" s="35" t="n">
        <v>50610006</v>
      </c>
      <c r="E7" s="16"/>
      <c r="F7" s="16"/>
      <c r="G7" s="16"/>
      <c r="H7" s="16"/>
      <c r="I7" s="16"/>
      <c r="J7" s="16"/>
      <c r="K7" s="16"/>
      <c r="L7" s="16"/>
      <c r="M7" s="16"/>
      <c r="N7" s="16"/>
      <c r="O7" s="16"/>
      <c r="P7" s="16"/>
    </row>
    <row r="8" customFormat="false" ht="15.75" hidden="false" customHeight="false" outlineLevel="0" collapsed="false">
      <c r="A8" s="33" t="s">
        <v>71</v>
      </c>
      <c r="B8" s="33" t="s">
        <v>64</v>
      </c>
      <c r="C8" s="33" t="s">
        <v>65</v>
      </c>
      <c r="D8" s="33" t="n">
        <v>50610003</v>
      </c>
      <c r="E8" s="37" t="n">
        <f aca="false">'1Tarifas Distribuidoras - INPUT'!$Q$7</f>
        <v>15.5738709677419</v>
      </c>
      <c r="F8" s="37" t="n">
        <f aca="false">'1Tarifas Distribuidoras - INPUT'!$Q$7</f>
        <v>15.5738709677419</v>
      </c>
      <c r="G8" s="37" t="n">
        <f aca="false">'1Tarifas Distribuidoras - INPUT'!$Q$7</f>
        <v>15.5738709677419</v>
      </c>
      <c r="H8" s="37" t="n">
        <f aca="false">'1Tarifas Distribuidoras - INPUT'!$Q$7</f>
        <v>15.5738709677419</v>
      </c>
      <c r="I8" s="37" t="n">
        <f aca="false">'1Tarifas Distribuidoras - INPUT'!$Q$7</f>
        <v>15.5738709677419</v>
      </c>
      <c r="J8" s="37" t="n">
        <f aca="false">'1Tarifas Distribuidoras - INPUT'!$Q$7</f>
        <v>15.5738709677419</v>
      </c>
      <c r="K8" s="37" t="n">
        <f aca="false">'1Tarifas Distribuidoras - INPUT'!$D$8</f>
        <v>29.665248361175</v>
      </c>
      <c r="L8" s="37" t="n">
        <f aca="false">'1Tarifas Distribuidoras - INPUT'!$D$8</f>
        <v>29.665248361175</v>
      </c>
      <c r="M8" s="37" t="n">
        <f aca="false">'1Tarifas Distribuidoras - INPUT'!$D$8</f>
        <v>29.665248361175</v>
      </c>
      <c r="N8" s="37" t="n">
        <f aca="false">'1Tarifas Distribuidoras - INPUT'!$D$8</f>
        <v>29.665248361175</v>
      </c>
      <c r="O8" s="37" t="n">
        <f aca="false">'1Tarifas Distribuidoras - INPUT'!$D$8</f>
        <v>29.665248361175</v>
      </c>
      <c r="P8" s="37" t="n">
        <f aca="false">'1Tarifas Distribuidoras - INPUT'!$D$8</f>
        <v>29.665248361175</v>
      </c>
    </row>
    <row r="9" customFormat="false" ht="15.75" hidden="false" customHeight="false" outlineLevel="0" collapsed="false">
      <c r="A9" s="33" t="s">
        <v>71</v>
      </c>
      <c r="B9" s="33" t="s">
        <v>64</v>
      </c>
      <c r="C9" s="33" t="s">
        <v>66</v>
      </c>
      <c r="D9" s="33" t="n">
        <v>50610003</v>
      </c>
      <c r="E9" s="37" t="n">
        <f aca="false">'1Tarifas Distribuidoras - INPUT'!$V$7</f>
        <v>8.37241935483871</v>
      </c>
      <c r="F9" s="37" t="n">
        <f aca="false">'1Tarifas Distribuidoras - INPUT'!$V$7</f>
        <v>8.37241935483871</v>
      </c>
      <c r="G9" s="37" t="n">
        <f aca="false">'1Tarifas Distribuidoras - INPUT'!$V$7</f>
        <v>8.37241935483871</v>
      </c>
      <c r="H9" s="37" t="n">
        <f aca="false">'1Tarifas Distribuidoras - INPUT'!$V$7</f>
        <v>8.37241935483871</v>
      </c>
      <c r="I9" s="37" t="n">
        <f aca="false">'1Tarifas Distribuidoras - INPUT'!$V$7</f>
        <v>8.37241935483871</v>
      </c>
      <c r="J9" s="37" t="n">
        <f aca="false">'1Tarifas Distribuidoras - INPUT'!$V$7</f>
        <v>8.37241935483871</v>
      </c>
      <c r="K9" s="37" t="n">
        <f aca="false">'1Tarifas Distribuidoras - INPUT'!$E$8</f>
        <v>11.691941870904</v>
      </c>
      <c r="L9" s="37" t="n">
        <f aca="false">'1Tarifas Distribuidoras - INPUT'!$E$8</f>
        <v>11.691941870904</v>
      </c>
      <c r="M9" s="37" t="n">
        <f aca="false">'1Tarifas Distribuidoras - INPUT'!$E$8</f>
        <v>11.691941870904</v>
      </c>
      <c r="N9" s="37" t="n">
        <f aca="false">'1Tarifas Distribuidoras - INPUT'!$E$8</f>
        <v>11.691941870904</v>
      </c>
      <c r="O9" s="37" t="n">
        <f aca="false">'1Tarifas Distribuidoras - INPUT'!$E$8</f>
        <v>11.691941870904</v>
      </c>
      <c r="P9" s="37" t="n">
        <f aca="false">'1Tarifas Distribuidoras - INPUT'!$E$8</f>
        <v>11.691941870904</v>
      </c>
    </row>
    <row r="10" customFormat="false" ht="15.75" hidden="false" customHeight="false" outlineLevel="0" collapsed="false">
      <c r="A10" s="33" t="s">
        <v>71</v>
      </c>
      <c r="B10" s="33" t="s">
        <v>67</v>
      </c>
      <c r="C10" s="33" t="s">
        <v>68</v>
      </c>
      <c r="D10" s="33" t="n">
        <v>50610006</v>
      </c>
      <c r="E10" s="37"/>
      <c r="F10" s="37"/>
      <c r="G10" s="37"/>
      <c r="H10" s="37"/>
      <c r="I10" s="37"/>
      <c r="J10" s="37"/>
      <c r="K10" s="37"/>
      <c r="L10" s="37"/>
      <c r="M10" s="37"/>
      <c r="N10" s="37"/>
      <c r="O10" s="37"/>
      <c r="P10" s="37"/>
    </row>
    <row r="11" customFormat="false" ht="15.75" hidden="false" customHeight="false" outlineLevel="0" collapsed="false">
      <c r="A11" s="33" t="s">
        <v>71</v>
      </c>
      <c r="B11" s="33" t="s">
        <v>67</v>
      </c>
      <c r="C11" s="38" t="s">
        <v>69</v>
      </c>
      <c r="D11" s="33" t="n">
        <v>50610006</v>
      </c>
      <c r="E11" s="33"/>
      <c r="F11" s="33"/>
      <c r="G11" s="33"/>
      <c r="H11" s="33"/>
      <c r="I11" s="33"/>
      <c r="J11" s="33"/>
      <c r="K11" s="33"/>
      <c r="L11" s="33"/>
      <c r="M11" s="33"/>
      <c r="N11" s="33"/>
      <c r="O11" s="33"/>
      <c r="P11" s="33"/>
    </row>
    <row r="12" customFormat="false" ht="15.75" hidden="false" customHeight="false" outlineLevel="0" collapsed="false">
      <c r="A12" s="33" t="s">
        <v>71</v>
      </c>
      <c r="B12" s="33" t="s">
        <v>67</v>
      </c>
      <c r="C12" s="38" t="s">
        <v>70</v>
      </c>
      <c r="D12" s="33" t="n">
        <v>50610006</v>
      </c>
      <c r="E12" s="37" t="n">
        <f aca="false">'1Tarifas Distribuidoras - INPUT'!$AA$7</f>
        <v>81.1773387096774</v>
      </c>
      <c r="F12" s="37" t="n">
        <f aca="false">'1Tarifas Distribuidoras - INPUT'!$AA$7</f>
        <v>81.1773387096774</v>
      </c>
      <c r="G12" s="37" t="n">
        <f aca="false">'1Tarifas Distribuidoras - INPUT'!$AA$7</f>
        <v>81.1773387096774</v>
      </c>
      <c r="H12" s="37" t="n">
        <f aca="false">'1Tarifas Distribuidoras - INPUT'!$AA$7</f>
        <v>81.1773387096774</v>
      </c>
      <c r="I12" s="37" t="n">
        <f aca="false">'1Tarifas Distribuidoras - INPUT'!$AA$7</f>
        <v>81.1773387096774</v>
      </c>
      <c r="J12" s="37" t="n">
        <f aca="false">'1Tarifas Distribuidoras - INPUT'!$AA$7</f>
        <v>81.1773387096774</v>
      </c>
      <c r="K12" s="37" t="n">
        <f aca="false">'1Tarifas Distribuidoras - INPUT'!$AA$8</f>
        <v>82.3855494897628</v>
      </c>
      <c r="L12" s="37" t="n">
        <f aca="false">'1Tarifas Distribuidoras - INPUT'!$AA$8</f>
        <v>82.3855494897628</v>
      </c>
      <c r="M12" s="37" t="n">
        <f aca="false">'1Tarifas Distribuidoras - INPUT'!$AA$8</f>
        <v>82.3855494897628</v>
      </c>
      <c r="N12" s="37" t="n">
        <f aca="false">'1Tarifas Distribuidoras - INPUT'!$AA$8</f>
        <v>82.3855494897628</v>
      </c>
      <c r="O12" s="37" t="n">
        <f aca="false">'1Tarifas Distribuidoras - INPUT'!$AA$8</f>
        <v>82.3855494897628</v>
      </c>
      <c r="P12" s="37" t="n">
        <f aca="false">'1Tarifas Distribuidoras - INPUT'!$AA$8</f>
        <v>82.3855494897628</v>
      </c>
    </row>
    <row r="13" customFormat="false" ht="15.75" hidden="false" customHeight="false" outlineLevel="0" collapsed="false">
      <c r="A13" s="39" t="s">
        <v>44</v>
      </c>
      <c r="B13" s="39" t="s">
        <v>72</v>
      </c>
      <c r="C13" s="40" t="s">
        <v>73</v>
      </c>
      <c r="D13" s="39" t="n">
        <v>50610002</v>
      </c>
      <c r="E13" s="17" t="n">
        <f aca="false">'1Tarifas Distribuidoras - INPUT'!$K$22</f>
        <v>160.998461751314</v>
      </c>
      <c r="F13" s="17" t="n">
        <f aca="false">'1Tarifas Distribuidoras - INPUT'!$K$22</f>
        <v>160.998461751314</v>
      </c>
      <c r="G13" s="17" t="n">
        <f aca="false">'1Tarifas Distribuidoras - INPUT'!$K$22</f>
        <v>160.998461751314</v>
      </c>
      <c r="H13" s="17" t="n">
        <f aca="false">'1Tarifas Distribuidoras - INPUT'!$K$22</f>
        <v>160.998461751314</v>
      </c>
      <c r="I13" s="17" t="n">
        <f aca="false">'1Tarifas Distribuidoras - INPUT'!$K$22</f>
        <v>160.998461751314</v>
      </c>
      <c r="J13" s="17" t="n">
        <f aca="false">'1Tarifas Distribuidoras - INPUT'!$K$22</f>
        <v>160.998461751314</v>
      </c>
      <c r="K13" s="17" t="n">
        <f aca="false">'1Tarifas Distribuidoras - INPUT'!$K$22</f>
        <v>160.998461751314</v>
      </c>
      <c r="L13" s="17" t="n">
        <f aca="false">'1Tarifas Distribuidoras - INPUT'!$K$22</f>
        <v>160.998461751314</v>
      </c>
      <c r="M13" s="17" t="n">
        <f aca="false">'1Tarifas Distribuidoras - INPUT'!$K$22</f>
        <v>160.998461751314</v>
      </c>
      <c r="N13" s="17" t="n">
        <f aca="false">'1Tarifas Distribuidoras - INPUT'!$K$22</f>
        <v>160.998461751314</v>
      </c>
      <c r="O13" s="17" t="n">
        <f aca="false">'1Tarifas Distribuidoras - INPUT'!$K$22</f>
        <v>160.998461751314</v>
      </c>
      <c r="P13" s="17" t="n">
        <f aca="false">'1Tarifas Distribuidoras - INPUT'!$K$22</f>
        <v>160.998461751314</v>
      </c>
    </row>
    <row r="15" customFormat="false" ht="15.75" hidden="false" customHeight="true" outlineLevel="0" collapsed="false">
      <c r="A15" s="33" t="s">
        <v>45</v>
      </c>
      <c r="B15" s="33"/>
      <c r="C15" s="33"/>
      <c r="D15" s="33"/>
      <c r="E15" s="34" t="s">
        <v>47</v>
      </c>
      <c r="F15" s="34" t="s">
        <v>48</v>
      </c>
      <c r="G15" s="34" t="s">
        <v>49</v>
      </c>
      <c r="H15" s="34" t="s">
        <v>50</v>
      </c>
      <c r="I15" s="34" t="s">
        <v>51</v>
      </c>
      <c r="J15" s="34" t="s">
        <v>52</v>
      </c>
      <c r="K15" s="34" t="s">
        <v>53</v>
      </c>
      <c r="L15" s="34" t="s">
        <v>54</v>
      </c>
      <c r="M15" s="34" t="s">
        <v>55</v>
      </c>
      <c r="N15" s="34" t="s">
        <v>56</v>
      </c>
      <c r="O15" s="34" t="s">
        <v>57</v>
      </c>
      <c r="P15" s="34" t="s">
        <v>58</v>
      </c>
    </row>
    <row r="16" customFormat="false" ht="15.75" hidden="false" customHeight="false" outlineLevel="0" collapsed="false">
      <c r="A16" s="33" t="s">
        <v>59</v>
      </c>
      <c r="B16" s="33" t="s">
        <v>60</v>
      </c>
      <c r="C16" s="33" t="s">
        <v>61</v>
      </c>
      <c r="D16" s="33" t="s">
        <v>62</v>
      </c>
      <c r="E16" s="34"/>
      <c r="F16" s="34"/>
      <c r="G16" s="34"/>
      <c r="H16" s="34"/>
      <c r="I16" s="34"/>
      <c r="J16" s="34"/>
      <c r="K16" s="34"/>
      <c r="L16" s="34"/>
      <c r="M16" s="34"/>
      <c r="N16" s="34"/>
      <c r="O16" s="34"/>
      <c r="P16" s="34"/>
    </row>
    <row r="17" customFormat="false" ht="15.75" hidden="false" customHeight="false" outlineLevel="0" collapsed="false">
      <c r="A17" s="33" t="s">
        <v>74</v>
      </c>
      <c r="B17" s="33" t="s">
        <v>64</v>
      </c>
      <c r="C17" s="33" t="s">
        <v>65</v>
      </c>
      <c r="D17" s="33" t="n">
        <v>50610003</v>
      </c>
      <c r="E17" s="37" t="n">
        <f aca="false">'1Tarifas Distribuidoras - INPUT'!$Q$5</f>
        <v>20.4845187200415</v>
      </c>
      <c r="F17" s="37" t="n">
        <f aca="false">'1Tarifas Distribuidoras - INPUT'!$Q$5</f>
        <v>20.4845187200415</v>
      </c>
      <c r="G17" s="37" t="n">
        <f aca="false">'1Tarifas Distribuidoras - INPUT'!$Q$5</f>
        <v>20.4845187200415</v>
      </c>
      <c r="H17" s="37" t="n">
        <f aca="false">'1Tarifas Distribuidoras - INPUT'!$Q$5</f>
        <v>20.4845187200415</v>
      </c>
      <c r="I17" s="37" t="n">
        <f aca="false">'1Tarifas Distribuidoras - INPUT'!$Q$5</f>
        <v>20.4845187200415</v>
      </c>
      <c r="J17" s="37" t="n">
        <f aca="false">'1Tarifas Distribuidoras - INPUT'!$Q$5</f>
        <v>20.4845187200415</v>
      </c>
      <c r="K17" s="37" t="n">
        <f aca="false">'1Tarifas Distribuidoras - INPUT'!$Q$5</f>
        <v>20.4845187200415</v>
      </c>
      <c r="L17" s="37" t="n">
        <f aca="false">'1Tarifas Distribuidoras - INPUT'!$Q$6</f>
        <v>20.117692172749</v>
      </c>
      <c r="M17" s="37" t="n">
        <f aca="false">'1Tarifas Distribuidoras - INPUT'!$Q$6</f>
        <v>20.117692172749</v>
      </c>
      <c r="N17" s="37" t="n">
        <f aca="false">'1Tarifas Distribuidoras - INPUT'!$Q$6</f>
        <v>20.117692172749</v>
      </c>
      <c r="O17" s="37" t="n">
        <f aca="false">'1Tarifas Distribuidoras - INPUT'!$Q$6</f>
        <v>20.117692172749</v>
      </c>
      <c r="P17" s="37" t="n">
        <f aca="false">'1Tarifas Distribuidoras - INPUT'!$Q$6</f>
        <v>20.117692172749</v>
      </c>
    </row>
    <row r="18" customFormat="false" ht="15.75" hidden="false" customHeight="false" outlineLevel="0" collapsed="false">
      <c r="A18" s="33" t="s">
        <v>74</v>
      </c>
      <c r="B18" s="33" t="s">
        <v>64</v>
      </c>
      <c r="C18" s="33" t="s">
        <v>66</v>
      </c>
      <c r="D18" s="33" t="n">
        <v>50610003</v>
      </c>
      <c r="E18" s="37" t="n">
        <f aca="false">'1Tarifas Distribuidoras - INPUT'!$V$7</f>
        <v>8.37241935483871</v>
      </c>
      <c r="F18" s="37" t="n">
        <f aca="false">'1Tarifas Distribuidoras - INPUT'!$V$7</f>
        <v>8.37241935483871</v>
      </c>
      <c r="G18" s="37" t="n">
        <f aca="false">'1Tarifas Distribuidoras - INPUT'!$V$7</f>
        <v>8.37241935483871</v>
      </c>
      <c r="H18" s="37" t="n">
        <f aca="false">'1Tarifas Distribuidoras - INPUT'!$V$7</f>
        <v>8.37241935483871</v>
      </c>
      <c r="I18" s="37" t="n">
        <f aca="false">'1Tarifas Distribuidoras - INPUT'!$V$7</f>
        <v>8.37241935483871</v>
      </c>
      <c r="J18" s="37" t="n">
        <f aca="false">'1Tarifas Distribuidoras - INPUT'!$V$7</f>
        <v>8.37241935483871</v>
      </c>
      <c r="K18" s="37" t="n">
        <f aca="false">'1Tarifas Distribuidoras - INPUT'!$E$8</f>
        <v>11.691941870904</v>
      </c>
      <c r="L18" s="37" t="n">
        <f aca="false">'1Tarifas Distribuidoras - INPUT'!$V$6</f>
        <v>8.54284214138739</v>
      </c>
      <c r="M18" s="37" t="n">
        <f aca="false">'1Tarifas Distribuidoras - INPUT'!$V$6</f>
        <v>8.54284214138739</v>
      </c>
      <c r="N18" s="37" t="n">
        <f aca="false">'1Tarifas Distribuidoras - INPUT'!$V$6</f>
        <v>8.54284214138739</v>
      </c>
      <c r="O18" s="37" t="n">
        <f aca="false">'1Tarifas Distribuidoras - INPUT'!$V$6</f>
        <v>8.54284214138739</v>
      </c>
      <c r="P18" s="37" t="n">
        <f aca="false">'1Tarifas Distribuidoras - INPUT'!$V$6</f>
        <v>8.54284214138739</v>
      </c>
    </row>
    <row r="19" customFormat="false" ht="15.75" hidden="false" customHeight="false" outlineLevel="0" collapsed="false">
      <c r="A19" s="33" t="s">
        <v>74</v>
      </c>
      <c r="B19" s="33" t="s">
        <v>67</v>
      </c>
      <c r="C19" s="33" t="s">
        <v>68</v>
      </c>
      <c r="D19" s="33" t="n">
        <v>50610006</v>
      </c>
      <c r="E19" s="37"/>
      <c r="F19" s="37"/>
      <c r="G19" s="37"/>
      <c r="H19" s="37"/>
      <c r="I19" s="37"/>
      <c r="J19" s="37"/>
      <c r="K19" s="37"/>
      <c r="L19" s="37"/>
      <c r="M19" s="37"/>
      <c r="N19" s="37"/>
      <c r="O19" s="37"/>
      <c r="P19" s="37"/>
    </row>
    <row r="20" customFormat="false" ht="15.75" hidden="false" customHeight="false" outlineLevel="0" collapsed="false">
      <c r="A20" s="33" t="s">
        <v>74</v>
      </c>
      <c r="B20" s="33" t="s">
        <v>67</v>
      </c>
      <c r="C20" s="38" t="s">
        <v>69</v>
      </c>
      <c r="D20" s="33" t="n">
        <v>50610006</v>
      </c>
      <c r="E20" s="33" t="n">
        <f aca="false">'1Tarifas Distribuidoras - INPUT'!$H$5</f>
        <v>77.55</v>
      </c>
      <c r="F20" s="33" t="n">
        <f aca="false">'1Tarifas Distribuidoras - INPUT'!$H$5</f>
        <v>77.55</v>
      </c>
      <c r="G20" s="33" t="n">
        <f aca="false">'1Tarifas Distribuidoras - INPUT'!$H$5</f>
        <v>77.55</v>
      </c>
      <c r="H20" s="33" t="n">
        <f aca="false">'1Tarifas Distribuidoras - INPUT'!$H$5</f>
        <v>77.55</v>
      </c>
      <c r="I20" s="33" t="n">
        <f aca="false">'1Tarifas Distribuidoras - INPUT'!$H$5</f>
        <v>77.55</v>
      </c>
      <c r="J20" s="33" t="n">
        <f aca="false">'1Tarifas Distribuidoras - INPUT'!$H$5</f>
        <v>77.55</v>
      </c>
      <c r="K20" s="33" t="n">
        <f aca="false">'1Tarifas Distribuidoras - INPUT'!$H$5</f>
        <v>77.55</v>
      </c>
      <c r="L20" s="37" t="n">
        <f aca="false">'1Tarifas Distribuidoras - INPUT'!$H$6</f>
        <v>78.620665438016</v>
      </c>
      <c r="M20" s="37" t="n">
        <f aca="false">'1Tarifas Distribuidoras - INPUT'!$H$6</f>
        <v>78.620665438016</v>
      </c>
      <c r="N20" s="37" t="n">
        <f aca="false">'1Tarifas Distribuidoras - INPUT'!$H$6</f>
        <v>78.620665438016</v>
      </c>
      <c r="O20" s="37" t="n">
        <f aca="false">'1Tarifas Distribuidoras - INPUT'!$H$6</f>
        <v>78.620665438016</v>
      </c>
      <c r="P20" s="37" t="n">
        <f aca="false">'1Tarifas Distribuidoras - INPUT'!$H$6</f>
        <v>78.620665438016</v>
      </c>
    </row>
    <row r="21" customFormat="false" ht="15.75" hidden="false" customHeight="false" outlineLevel="0" collapsed="false">
      <c r="A21" s="33" t="s">
        <v>74</v>
      </c>
      <c r="B21" s="33" t="s">
        <v>67</v>
      </c>
      <c r="C21" s="38" t="s">
        <v>70</v>
      </c>
      <c r="D21" s="33" t="n">
        <v>50610006</v>
      </c>
      <c r="E21" s="37" t="n">
        <f aca="false">'1Tarifas Distribuidoras - INPUT'!$AA$5</f>
        <v>86.8299002461459</v>
      </c>
      <c r="F21" s="37" t="n">
        <f aca="false">'1Tarifas Distribuidoras - INPUT'!$AA$5</f>
        <v>86.8299002461459</v>
      </c>
      <c r="G21" s="37" t="n">
        <f aca="false">'1Tarifas Distribuidoras - INPUT'!$AA$5</f>
        <v>86.8299002461459</v>
      </c>
      <c r="H21" s="37" t="n">
        <f aca="false">'1Tarifas Distribuidoras - INPUT'!$AA$5</f>
        <v>86.8299002461459</v>
      </c>
      <c r="I21" s="37" t="n">
        <f aca="false">'1Tarifas Distribuidoras - INPUT'!$AA$5</f>
        <v>86.8299002461459</v>
      </c>
      <c r="J21" s="37" t="n">
        <f aca="false">'1Tarifas Distribuidoras - INPUT'!$AA$5</f>
        <v>86.8299002461459</v>
      </c>
      <c r="K21" s="37" t="n">
        <f aca="false">'1Tarifas Distribuidoras - INPUT'!$AA$5</f>
        <v>86.8299002461459</v>
      </c>
      <c r="L21" s="37" t="n">
        <f aca="false">'1Tarifas Distribuidoras - INPUT'!$AA$6</f>
        <v>83.2161020764466</v>
      </c>
      <c r="M21" s="37" t="n">
        <f aca="false">'1Tarifas Distribuidoras - INPUT'!$AA$6</f>
        <v>83.2161020764466</v>
      </c>
      <c r="N21" s="37" t="n">
        <f aca="false">'1Tarifas Distribuidoras - INPUT'!$AA$6</f>
        <v>83.2161020764466</v>
      </c>
      <c r="O21" s="37" t="n">
        <f aca="false">'1Tarifas Distribuidoras - INPUT'!$AA$6</f>
        <v>83.2161020764466</v>
      </c>
      <c r="P21" s="37" t="n">
        <f aca="false">'1Tarifas Distribuidoras - INPUT'!$AA$6</f>
        <v>83.2161020764466</v>
      </c>
    </row>
    <row r="22" customFormat="false" ht="15.75" hidden="false" customHeight="false" outlineLevel="0" collapsed="false">
      <c r="A22" s="39" t="s">
        <v>45</v>
      </c>
      <c r="B22" s="39" t="s">
        <v>72</v>
      </c>
      <c r="C22" s="40" t="s">
        <v>73</v>
      </c>
      <c r="D22" s="39" t="n">
        <v>50610002</v>
      </c>
      <c r="E22" s="17" t="n">
        <f aca="false">'1Tarifas Distribuidoras - INPUT'!$K$23</f>
        <v>161.245095423521</v>
      </c>
      <c r="F22" s="17" t="n">
        <f aca="false">'1Tarifas Distribuidoras - INPUT'!$K$23</f>
        <v>161.245095423521</v>
      </c>
      <c r="G22" s="17" t="n">
        <f aca="false">'1Tarifas Distribuidoras - INPUT'!$K$23</f>
        <v>161.245095423521</v>
      </c>
      <c r="H22" s="17" t="n">
        <f aca="false">'1Tarifas Distribuidoras - INPUT'!$K$23</f>
        <v>161.245095423521</v>
      </c>
      <c r="I22" s="17" t="n">
        <f aca="false">'1Tarifas Distribuidoras - INPUT'!$K$23</f>
        <v>161.245095423521</v>
      </c>
      <c r="J22" s="17" t="n">
        <f aca="false">'1Tarifas Distribuidoras - INPUT'!$K$23</f>
        <v>161.245095423521</v>
      </c>
      <c r="K22" s="17" t="n">
        <f aca="false">'1Tarifas Distribuidoras - INPUT'!$K$23</f>
        <v>161.245095423521</v>
      </c>
      <c r="L22" s="17" t="n">
        <f aca="false">'1Tarifas Distribuidoras - INPUT'!$K$23</f>
        <v>161.245095423521</v>
      </c>
      <c r="M22" s="17" t="n">
        <f aca="false">'1Tarifas Distribuidoras - INPUT'!$K$23</f>
        <v>161.245095423521</v>
      </c>
      <c r="N22" s="17" t="n">
        <f aca="false">'1Tarifas Distribuidoras - INPUT'!$K$23</f>
        <v>161.245095423521</v>
      </c>
      <c r="O22" s="17" t="n">
        <f aca="false">'1Tarifas Distribuidoras - INPUT'!$K$23</f>
        <v>161.245095423521</v>
      </c>
      <c r="P22" s="17" t="n">
        <f aca="false">'1Tarifas Distribuidoras - INPUT'!$K$23</f>
        <v>161.245095423521</v>
      </c>
    </row>
  </sheetData>
  <mergeCells count="24">
    <mergeCell ref="E1:E2"/>
    <mergeCell ref="F1:F2"/>
    <mergeCell ref="G1:G2"/>
    <mergeCell ref="H1:H2"/>
    <mergeCell ref="I1:I2"/>
    <mergeCell ref="J1:J2"/>
    <mergeCell ref="K1:K2"/>
    <mergeCell ref="L1:L2"/>
    <mergeCell ref="M1:M2"/>
    <mergeCell ref="N1:N2"/>
    <mergeCell ref="O1:O2"/>
    <mergeCell ref="P1:P2"/>
    <mergeCell ref="E15:E16"/>
    <mergeCell ref="F15:F16"/>
    <mergeCell ref="G15:G16"/>
    <mergeCell ref="H15:H16"/>
    <mergeCell ref="I15:I16"/>
    <mergeCell ref="J15:J16"/>
    <mergeCell ref="K15:K16"/>
    <mergeCell ref="L15:L16"/>
    <mergeCell ref="M15:M16"/>
    <mergeCell ref="N15:N16"/>
    <mergeCell ref="O15:O16"/>
    <mergeCell ref="P15:P16"/>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2"/>
  <sheetViews>
    <sheetView showFormulas="false" showGridLines="true" showRowColHeaders="true" showZeros="true" rightToLeft="false" tabSelected="false" showOutlineSymbols="true" defaultGridColor="true" view="normal" topLeftCell="A1" colorId="64" zoomScale="130" zoomScaleNormal="130" zoomScalePageLayoutView="100" workbookViewId="0">
      <selection pane="topLeft" activeCell="M19" activeCellId="0" sqref="M19"/>
    </sheetView>
  </sheetViews>
  <sheetFormatPr defaultColWidth="11" defaultRowHeight="15.75" zeroHeight="false" outlineLevelRow="0" outlineLevelCol="0"/>
  <cols>
    <col collapsed="false" customWidth="true" hidden="false" outlineLevel="0" max="1" min="1" style="0" width="28.37"/>
  </cols>
  <sheetData>
    <row r="1" customFormat="false" ht="17.35" hidden="false" customHeight="false" outlineLevel="0" collapsed="false">
      <c r="A1" s="41" t="s">
        <v>75</v>
      </c>
      <c r="B1" s="42" t="s">
        <v>76</v>
      </c>
      <c r="C1" s="42" t="s">
        <v>77</v>
      </c>
      <c r="D1" s="42" t="s">
        <v>78</v>
      </c>
      <c r="E1" s="42" t="s">
        <v>79</v>
      </c>
      <c r="F1" s="42" t="s">
        <v>80</v>
      </c>
      <c r="G1" s="42" t="s">
        <v>81</v>
      </c>
      <c r="H1" s="42" t="s">
        <v>82</v>
      </c>
      <c r="I1" s="42" t="s">
        <v>83</v>
      </c>
      <c r="J1" s="42" t="s">
        <v>84</v>
      </c>
      <c r="K1" s="42" t="s">
        <v>85</v>
      </c>
      <c r="L1" s="42" t="s">
        <v>86</v>
      </c>
      <c r="M1" s="42" t="s">
        <v>87</v>
      </c>
    </row>
    <row r="2" customFormat="false" ht="15.75" hidden="false" customHeight="false" outlineLevel="0" collapsed="false">
      <c r="A2" s="43" t="s">
        <v>88</v>
      </c>
      <c r="B2" s="44" t="s">
        <v>89</v>
      </c>
      <c r="C2" s="44" t="s">
        <v>90</v>
      </c>
      <c r="D2" s="44" t="s">
        <v>91</v>
      </c>
      <c r="E2" s="44" t="s">
        <v>92</v>
      </c>
      <c r="F2" s="44" t="s">
        <v>93</v>
      </c>
      <c r="G2" s="44" t="s">
        <v>94</v>
      </c>
      <c r="H2" s="44" t="s">
        <v>95</v>
      </c>
      <c r="I2" s="44" t="s">
        <v>96</v>
      </c>
      <c r="J2" s="44" t="s">
        <v>97</v>
      </c>
      <c r="K2" s="44" t="s">
        <v>98</v>
      </c>
      <c r="L2" s="44" t="s">
        <v>99</v>
      </c>
      <c r="M2" s="44" t="s">
        <v>100</v>
      </c>
    </row>
    <row r="3" customFormat="false" ht="15.75" hidden="false" customHeight="false" outlineLevel="0" collapsed="false">
      <c r="A3" s="45"/>
      <c r="B3" s="46" t="n">
        <v>31</v>
      </c>
      <c r="C3" s="46" t="n">
        <v>28</v>
      </c>
      <c r="D3" s="46" t="n">
        <v>31</v>
      </c>
      <c r="E3" s="46" t="n">
        <v>30</v>
      </c>
      <c r="F3" s="46" t="n">
        <v>31</v>
      </c>
      <c r="G3" s="46" t="n">
        <v>30</v>
      </c>
      <c r="H3" s="46" t="n">
        <v>31</v>
      </c>
      <c r="I3" s="46" t="n">
        <v>31</v>
      </c>
      <c r="J3" s="46" t="n">
        <v>30</v>
      </c>
      <c r="K3" s="46" t="n">
        <v>31</v>
      </c>
      <c r="L3" s="46" t="n">
        <v>30</v>
      </c>
      <c r="M3" s="46" t="n">
        <v>31</v>
      </c>
    </row>
    <row r="4" customFormat="false" ht="15.75" hidden="false" customHeight="false" outlineLevel="0" collapsed="false">
      <c r="A4" s="47" t="s">
        <v>101</v>
      </c>
      <c r="B4" s="48" t="n">
        <v>1059.06847971261</v>
      </c>
      <c r="C4" s="48" t="n">
        <v>1021.03204582921</v>
      </c>
      <c r="D4" s="48" t="n">
        <v>1004.45470121026</v>
      </c>
      <c r="E4" s="48" t="n">
        <v>1119.81998267452</v>
      </c>
      <c r="F4" s="48" t="n">
        <v>1137.35168489642</v>
      </c>
      <c r="G4" s="48" t="n">
        <v>1148.22792867489</v>
      </c>
      <c r="H4" s="48" t="n">
        <v>1188.57177810075</v>
      </c>
      <c r="I4" s="48" t="n">
        <v>1138.51130682527</v>
      </c>
      <c r="J4" s="48" t="n">
        <v>1149.78297799541</v>
      </c>
      <c r="K4" s="48" t="n">
        <v>1159.53392468453</v>
      </c>
      <c r="L4" s="48" t="n">
        <v>1051.46339092688</v>
      </c>
      <c r="M4" s="48" t="n">
        <v>1120.4827388095</v>
      </c>
    </row>
    <row r="5" customFormat="false" ht="15.75" hidden="false" customHeight="false" outlineLevel="0" collapsed="false">
      <c r="A5" s="47" t="s">
        <v>102</v>
      </c>
      <c r="B5" s="48" t="n">
        <v>0</v>
      </c>
      <c r="C5" s="48" t="n">
        <v>0</v>
      </c>
      <c r="D5" s="48" t="n">
        <v>0</v>
      </c>
      <c r="E5" s="48" t="n">
        <v>0</v>
      </c>
      <c r="F5" s="48" t="n">
        <v>0</v>
      </c>
      <c r="G5" s="48" t="n">
        <v>0</v>
      </c>
      <c r="H5" s="48" t="n">
        <v>0</v>
      </c>
      <c r="I5" s="48" t="n">
        <v>0</v>
      </c>
      <c r="J5" s="48" t="n">
        <v>0</v>
      </c>
      <c r="K5" s="48" t="n">
        <v>0</v>
      </c>
      <c r="L5" s="48" t="n">
        <v>0</v>
      </c>
      <c r="M5" s="48" t="n">
        <v>0</v>
      </c>
    </row>
    <row r="6" customFormat="false" ht="15.75" hidden="false" customHeight="false" outlineLevel="0" collapsed="false">
      <c r="A6" s="47" t="s">
        <v>103</v>
      </c>
      <c r="B6" s="48" t="n">
        <v>599.777013988936</v>
      </c>
      <c r="C6" s="48" t="n">
        <v>546.473046337862</v>
      </c>
      <c r="D6" s="48" t="n">
        <v>576.603593494139</v>
      </c>
      <c r="E6" s="48" t="n">
        <v>565.607409838606</v>
      </c>
      <c r="F6" s="48" t="n">
        <v>584.428484154006</v>
      </c>
      <c r="G6" s="48" t="n">
        <v>619.565263154035</v>
      </c>
      <c r="H6" s="48" t="n">
        <v>641.889633167329</v>
      </c>
      <c r="I6" s="48" t="n">
        <v>641.702192323429</v>
      </c>
      <c r="J6" s="48" t="n">
        <v>624.349080385919</v>
      </c>
      <c r="K6" s="48" t="n">
        <v>611.983339353751</v>
      </c>
      <c r="L6" s="48" t="n">
        <v>525.623556525034</v>
      </c>
      <c r="M6" s="48" t="n">
        <v>585.605841592393</v>
      </c>
    </row>
    <row r="7" customFormat="false" ht="15.75" hidden="false" customHeight="false" outlineLevel="0" collapsed="false">
      <c r="A7" s="47" t="s">
        <v>104</v>
      </c>
      <c r="B7" s="48" t="n">
        <v>660.813394924345</v>
      </c>
      <c r="C7" s="48" t="n">
        <v>683.621845312905</v>
      </c>
      <c r="D7" s="48" t="n">
        <v>680.473946502607</v>
      </c>
      <c r="E7" s="48" t="n">
        <v>806.838557088322</v>
      </c>
      <c r="F7" s="48" t="n">
        <v>828.463273567</v>
      </c>
      <c r="G7" s="48" t="n">
        <v>802.192534849812</v>
      </c>
      <c r="H7" s="48" t="n">
        <v>822.426587661967</v>
      </c>
      <c r="I7" s="48" t="n">
        <v>751.434925464488</v>
      </c>
      <c r="J7" s="48" t="n">
        <v>793.45275482829</v>
      </c>
      <c r="K7" s="48" t="n">
        <v>794.818491112382</v>
      </c>
      <c r="L7" s="48" t="n">
        <v>734.242518675521</v>
      </c>
      <c r="M7" s="48" t="n">
        <v>726.840262977234</v>
      </c>
    </row>
    <row r="8" customFormat="false" ht="15.75" hidden="false" customHeight="false" outlineLevel="0" collapsed="false">
      <c r="A8" s="47" t="s">
        <v>105</v>
      </c>
      <c r="B8" s="48" t="n">
        <v>0</v>
      </c>
      <c r="C8" s="48" t="n">
        <v>0</v>
      </c>
      <c r="D8" s="48" t="n">
        <v>0</v>
      </c>
      <c r="E8" s="48" t="n">
        <v>0</v>
      </c>
      <c r="F8" s="48" t="n">
        <v>0</v>
      </c>
      <c r="G8" s="48" t="n">
        <v>0</v>
      </c>
      <c r="H8" s="48" t="n">
        <v>0</v>
      </c>
      <c r="I8" s="48" t="n">
        <v>0</v>
      </c>
      <c r="J8" s="48" t="n">
        <v>0</v>
      </c>
      <c r="K8" s="48" t="n">
        <v>0</v>
      </c>
      <c r="L8" s="48" t="n">
        <v>0</v>
      </c>
      <c r="M8" s="48" t="n">
        <v>0</v>
      </c>
    </row>
    <row r="9" customFormat="false" ht="15.75" hidden="false" customHeight="false" outlineLevel="0" collapsed="false">
      <c r="A9" s="47" t="s">
        <v>106</v>
      </c>
      <c r="B9" s="48" t="n">
        <v>0</v>
      </c>
      <c r="C9" s="48" t="n">
        <v>0</v>
      </c>
      <c r="D9" s="48" t="n">
        <v>0</v>
      </c>
      <c r="E9" s="48" t="n">
        <v>0</v>
      </c>
      <c r="F9" s="48" t="n">
        <v>0</v>
      </c>
      <c r="G9" s="48" t="n">
        <v>0</v>
      </c>
      <c r="H9" s="48" t="n">
        <v>0</v>
      </c>
      <c r="I9" s="48" t="n">
        <v>0</v>
      </c>
      <c r="J9" s="48" t="n">
        <v>0</v>
      </c>
      <c r="K9" s="48" t="n">
        <v>0</v>
      </c>
      <c r="L9" s="48" t="n">
        <v>0</v>
      </c>
      <c r="M9" s="48" t="n">
        <v>0</v>
      </c>
    </row>
    <row r="10" customFormat="false" ht="15.75" hidden="false" customHeight="false" outlineLevel="0" collapsed="false">
      <c r="A10" s="47" t="s">
        <v>107</v>
      </c>
      <c r="B10" s="48" t="n">
        <v>1260.59040891328</v>
      </c>
      <c r="C10" s="48" t="n">
        <v>1230.09489165077</v>
      </c>
      <c r="D10" s="49" t="n">
        <f aca="false">1053.1452909432+203.932249053542</f>
        <v>1257.07753999674</v>
      </c>
      <c r="E10" s="48" t="n">
        <v>1372.44596692693</v>
      </c>
      <c r="F10" s="48" t="n">
        <v>1412.89175772101</v>
      </c>
      <c r="G10" s="48" t="n">
        <v>1421.75779800385</v>
      </c>
      <c r="H10" s="48" t="n">
        <v>1464.3162208293</v>
      </c>
      <c r="I10" s="48" t="n">
        <v>1393.13711778792</v>
      </c>
      <c r="J10" s="48" t="n">
        <v>1417.80183521421</v>
      </c>
      <c r="K10" s="48" t="n">
        <v>1406.80183046613</v>
      </c>
      <c r="L10" s="48" t="n">
        <v>1259.86607520055</v>
      </c>
      <c r="M10" s="48" t="n">
        <v>1312.44610456963</v>
      </c>
    </row>
    <row r="11" customFormat="false" ht="15.75" hidden="false" customHeight="false" outlineLevel="0" collapsed="false">
      <c r="A11" s="47" t="s">
        <v>108</v>
      </c>
      <c r="B11" s="48" t="n">
        <v>0</v>
      </c>
      <c r="C11" s="48" t="n">
        <v>0</v>
      </c>
      <c r="D11" s="48" t="n">
        <v>0</v>
      </c>
      <c r="E11" s="48" t="n">
        <v>0</v>
      </c>
      <c r="F11" s="48" t="n">
        <v>0</v>
      </c>
      <c r="G11" s="48" t="n">
        <v>0</v>
      </c>
      <c r="H11" s="48" t="n">
        <v>0</v>
      </c>
      <c r="I11" s="48" t="n">
        <v>0</v>
      </c>
      <c r="J11" s="48" t="n">
        <v>0</v>
      </c>
      <c r="K11" s="48" t="n">
        <v>0</v>
      </c>
      <c r="L11" s="48" t="n">
        <v>0</v>
      </c>
      <c r="M11" s="48" t="n">
        <v>0</v>
      </c>
    </row>
    <row r="12" customFormat="false" ht="15.75" hidden="false" customHeight="false" outlineLevel="0" collapsed="false">
      <c r="A12" s="47" t="s">
        <v>109</v>
      </c>
      <c r="B12" s="48" t="n">
        <v>1260.59040891328</v>
      </c>
      <c r="C12" s="48" t="n">
        <v>1230.09489165077</v>
      </c>
      <c r="D12" s="48" t="n">
        <v>1257.07753999675</v>
      </c>
      <c r="E12" s="48" t="n">
        <v>1372.44596692693</v>
      </c>
      <c r="F12" s="48" t="n">
        <v>1412.89175772101</v>
      </c>
      <c r="G12" s="48" t="n">
        <v>1421.75779800385</v>
      </c>
      <c r="H12" s="48" t="n">
        <v>1464.3162208293</v>
      </c>
      <c r="I12" s="48" t="n">
        <v>1393.13711778792</v>
      </c>
      <c r="J12" s="48" t="n">
        <v>1417.80183521421</v>
      </c>
      <c r="K12" s="48" t="n">
        <v>1406.80183046613</v>
      </c>
      <c r="L12" s="48" t="n">
        <v>1259.86607520055</v>
      </c>
      <c r="M12" s="48" t="n">
        <v>1312.44610456963</v>
      </c>
    </row>
    <row r="13" customFormat="false" ht="15.75" hidden="false" customHeight="false" outlineLevel="0" collapsed="false">
      <c r="A13" s="47" t="s">
        <v>110</v>
      </c>
      <c r="B13" s="48" t="n">
        <v>0</v>
      </c>
      <c r="C13" s="48" t="n">
        <v>0</v>
      </c>
      <c r="D13" s="48" t="n">
        <v>0</v>
      </c>
      <c r="E13" s="48" t="n">
        <v>0</v>
      </c>
      <c r="F13" s="48" t="n">
        <v>0</v>
      </c>
      <c r="G13" s="48" t="n">
        <v>0</v>
      </c>
      <c r="H13" s="48" t="n">
        <v>0</v>
      </c>
      <c r="I13" s="48" t="n">
        <v>0</v>
      </c>
      <c r="J13" s="48" t="n">
        <v>0</v>
      </c>
      <c r="K13" s="48" t="n">
        <v>0</v>
      </c>
      <c r="L13" s="48" t="n">
        <v>0</v>
      </c>
      <c r="M13" s="48" t="n">
        <v>0</v>
      </c>
    </row>
    <row r="14" customFormat="false" ht="15.75" hidden="false" customHeight="false" outlineLevel="0" collapsed="false">
      <c r="A14" s="47" t="s">
        <v>111</v>
      </c>
      <c r="B14" s="48" t="n">
        <v>0</v>
      </c>
      <c r="C14" s="48" t="n">
        <v>0</v>
      </c>
      <c r="D14" s="48" t="n">
        <v>0</v>
      </c>
      <c r="E14" s="48" t="n">
        <v>0</v>
      </c>
      <c r="F14" s="48" t="n">
        <v>0</v>
      </c>
      <c r="G14" s="48" t="n">
        <v>0</v>
      </c>
      <c r="H14" s="48" t="n">
        <v>0</v>
      </c>
      <c r="I14" s="48" t="n">
        <v>0</v>
      </c>
      <c r="J14" s="48" t="n">
        <v>0</v>
      </c>
      <c r="K14" s="48" t="n">
        <v>0</v>
      </c>
      <c r="L14" s="48" t="n">
        <v>0</v>
      </c>
      <c r="M14" s="48" t="n">
        <v>0</v>
      </c>
    </row>
    <row r="15" customFormat="false" ht="15.75" hidden="false" customHeight="false" outlineLevel="0" collapsed="false">
      <c r="A15" s="47" t="s">
        <v>112</v>
      </c>
      <c r="B15" s="48" t="n">
        <v>474.39089440342</v>
      </c>
      <c r="C15" s="48" t="n">
        <v>457.319946441967</v>
      </c>
      <c r="D15" s="48" t="n">
        <v>385.051649299158</v>
      </c>
      <c r="E15" s="48" t="n">
        <v>522.009763930424</v>
      </c>
      <c r="F15" s="48" t="n">
        <v>527.210938538106</v>
      </c>
      <c r="G15" s="48" t="n">
        <v>532.46778232443</v>
      </c>
      <c r="H15" s="48" t="n">
        <v>560.315955250413</v>
      </c>
      <c r="I15" s="48" t="n">
        <v>527.285440406607</v>
      </c>
      <c r="J15" s="48" t="n">
        <v>523.743978637014</v>
      </c>
      <c r="K15" s="48" t="n">
        <v>536.104513516067</v>
      </c>
      <c r="L15" s="48" t="n">
        <v>471.719741525447</v>
      </c>
      <c r="M15" s="48" t="n">
        <v>488.46412951789</v>
      </c>
    </row>
    <row r="16" customFormat="false" ht="15.75" hidden="false" customHeight="false" outlineLevel="0" collapsed="false">
      <c r="A16" s="47" t="s">
        <v>113</v>
      </c>
      <c r="B16" s="48" t="n">
        <v>592.837543225209</v>
      </c>
      <c r="C16" s="48" t="n">
        <v>551.331095874749</v>
      </c>
      <c r="D16" s="48" t="n">
        <v>678.843054873898</v>
      </c>
      <c r="E16" s="48" t="n">
        <v>651.574151395314</v>
      </c>
      <c r="F16" s="48" t="n">
        <v>637.68127231241</v>
      </c>
      <c r="G16" s="48" t="n">
        <v>687.994772363659</v>
      </c>
      <c r="H16" s="48" t="n">
        <v>700.108892389257</v>
      </c>
      <c r="I16" s="48" t="n">
        <v>636.35485374873</v>
      </c>
      <c r="J16" s="48" t="n">
        <v>675.250698377472</v>
      </c>
      <c r="K16" s="48" t="n">
        <v>669.787796999254</v>
      </c>
      <c r="L16" s="48" t="n">
        <v>565.428397481056</v>
      </c>
      <c r="M16" s="48" t="n">
        <v>628.825573757082</v>
      </c>
    </row>
    <row r="17" customFormat="false" ht="15.75" hidden="false" customHeight="false" outlineLevel="0" collapsed="false">
      <c r="A17" s="50" t="s">
        <v>114</v>
      </c>
      <c r="B17" s="48" t="n">
        <v>1067.22843762863</v>
      </c>
      <c r="C17" s="48" t="n">
        <v>1008.65104231672</v>
      </c>
      <c r="D17" s="48" t="n">
        <v>1063.89470417306</v>
      </c>
      <c r="E17" s="48" t="n">
        <v>1173.58391532574</v>
      </c>
      <c r="F17" s="48" t="n">
        <v>1164.89221085052</v>
      </c>
      <c r="G17" s="48" t="n">
        <v>1220.46255468809</v>
      </c>
      <c r="H17" s="48" t="n">
        <v>1260.42484763967</v>
      </c>
      <c r="I17" s="48" t="n">
        <v>1163.64029415534</v>
      </c>
      <c r="J17" s="48" t="n">
        <v>1198.99467701449</v>
      </c>
      <c r="K17" s="48" t="n">
        <v>1205.89231051532</v>
      </c>
      <c r="L17" s="48" t="n">
        <v>1037.1481390065</v>
      </c>
      <c r="M17" s="48" t="n">
        <v>1117.28970327497</v>
      </c>
    </row>
    <row r="18" customFormat="false" ht="15.75" hidden="false" customHeight="false" outlineLevel="0" collapsed="false">
      <c r="A18" s="47" t="s">
        <v>115</v>
      </c>
      <c r="B18" s="48" t="n">
        <v>143.855055938658</v>
      </c>
      <c r="C18" s="48" t="n">
        <v>174.65285938085</v>
      </c>
      <c r="D18" s="48" t="n">
        <v>143.825052337558</v>
      </c>
      <c r="E18" s="48" t="n">
        <v>144.812255237932</v>
      </c>
      <c r="F18" s="48" t="n">
        <v>193.959029897655</v>
      </c>
      <c r="G18" s="48" t="n">
        <v>145.234162992193</v>
      </c>
      <c r="H18" s="48" t="n">
        <v>145.593823628757</v>
      </c>
      <c r="I18" s="48" t="n">
        <v>176.047762647398</v>
      </c>
      <c r="J18" s="48" t="n">
        <v>162.94095209313</v>
      </c>
      <c r="K18" s="48" t="n">
        <v>145.103030794638</v>
      </c>
      <c r="L18" s="48" t="n">
        <v>174.909333251059</v>
      </c>
      <c r="M18" s="48" t="n">
        <v>144.305607329475</v>
      </c>
    </row>
    <row r="19" customFormat="false" ht="15.75" hidden="false" customHeight="false" outlineLevel="0" collapsed="false">
      <c r="A19" s="47" t="s">
        <v>116</v>
      </c>
      <c r="B19" s="48" t="n">
        <v>385.926883</v>
      </c>
      <c r="C19" s="48" t="n">
        <v>385.926883</v>
      </c>
      <c r="D19" s="48" t="n">
        <v>385.926883</v>
      </c>
      <c r="E19" s="48" t="n">
        <v>385.926883</v>
      </c>
      <c r="F19" s="48" t="n">
        <v>385.926883</v>
      </c>
      <c r="G19" s="48" t="n">
        <v>385.926883</v>
      </c>
      <c r="H19" s="48" t="n">
        <v>385.926883</v>
      </c>
      <c r="I19" s="48" t="n">
        <v>385.926883</v>
      </c>
      <c r="J19" s="48" t="n">
        <v>385.926883</v>
      </c>
      <c r="K19" s="48" t="n">
        <v>385.926883</v>
      </c>
      <c r="L19" s="48" t="n">
        <v>385.926883</v>
      </c>
      <c r="M19" s="48" t="n">
        <v>385.926883</v>
      </c>
    </row>
    <row r="21" customFormat="false" ht="15.75" hidden="false" customHeight="true" outlineLevel="0" collapsed="false">
      <c r="A21" s="51" t="s">
        <v>117</v>
      </c>
      <c r="B21" s="51"/>
      <c r="C21" s="51"/>
      <c r="D21" s="51"/>
      <c r="E21" s="51"/>
      <c r="F21" s="51"/>
    </row>
    <row r="22" customFormat="false" ht="15.75" hidden="false" customHeight="false" outlineLevel="0" collapsed="false">
      <c r="A22" s="51"/>
      <c r="B22" s="51"/>
      <c r="C22" s="51"/>
      <c r="D22" s="51"/>
      <c r="E22" s="51"/>
      <c r="F22" s="51"/>
    </row>
  </sheetData>
  <mergeCells count="1">
    <mergeCell ref="A21:F2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0"/>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A1" activeCellId="0" sqref="A1"/>
    </sheetView>
  </sheetViews>
  <sheetFormatPr defaultColWidth="11" defaultRowHeight="15.75" zeroHeight="false" outlineLevelRow="0" outlineLevelCol="0"/>
  <cols>
    <col collapsed="false" customWidth="true" hidden="false" outlineLevel="0" max="1" min="1" style="0" width="21.87"/>
  </cols>
  <sheetData>
    <row r="1" customFormat="false" ht="15.75" hidden="false" customHeight="false" outlineLevel="0" collapsed="false">
      <c r="A1" s="52"/>
      <c r="B1" s="53" t="s">
        <v>118</v>
      </c>
      <c r="C1" s="53"/>
      <c r="D1" s="53"/>
      <c r="E1" s="53"/>
      <c r="F1" s="53"/>
      <c r="G1" s="53"/>
      <c r="H1" s="53"/>
      <c r="I1" s="53"/>
      <c r="J1" s="53"/>
      <c r="K1" s="53"/>
      <c r="L1" s="53"/>
      <c r="M1" s="53"/>
    </row>
    <row r="2" customFormat="false" ht="15.75" hidden="false" customHeight="false" outlineLevel="0" collapsed="false">
      <c r="A2" s="54" t="s">
        <v>119</v>
      </c>
      <c r="B2" s="55" t="s">
        <v>76</v>
      </c>
      <c r="C2" s="55" t="s">
        <v>77</v>
      </c>
      <c r="D2" s="55" t="s">
        <v>78</v>
      </c>
      <c r="E2" s="55" t="s">
        <v>79</v>
      </c>
      <c r="F2" s="55" t="s">
        <v>80</v>
      </c>
      <c r="G2" s="55" t="s">
        <v>81</v>
      </c>
      <c r="H2" s="55" t="s">
        <v>82</v>
      </c>
      <c r="I2" s="55" t="s">
        <v>83</v>
      </c>
      <c r="J2" s="55" t="s">
        <v>84</v>
      </c>
      <c r="K2" s="55" t="s">
        <v>85</v>
      </c>
      <c r="L2" s="55" t="s">
        <v>86</v>
      </c>
      <c r="M2" s="55" t="s">
        <v>87</v>
      </c>
    </row>
    <row r="3" customFormat="false" ht="15.75" hidden="false" customHeight="false" outlineLevel="0" collapsed="false">
      <c r="A3" s="56" t="s">
        <v>101</v>
      </c>
      <c r="B3" s="57" t="n">
        <f aca="false">'3Planejamento Produção - INPUT'!B4*$B$20</f>
        <v>1059068.47971261</v>
      </c>
      <c r="C3" s="57" t="n">
        <f aca="false">'3Planejamento Produção - INPUT'!C4*$B$20</f>
        <v>1021032.04582921</v>
      </c>
      <c r="D3" s="57" t="n">
        <f aca="false">'3Planejamento Produção - INPUT'!D4*$B$20</f>
        <v>1004454.70121026</v>
      </c>
      <c r="E3" s="57" t="n">
        <f aca="false">'3Planejamento Produção - INPUT'!E4*$B$20</f>
        <v>1119819.98267452</v>
      </c>
      <c r="F3" s="57" t="n">
        <f aca="false">'3Planejamento Produção - INPUT'!F4*$B$20</f>
        <v>1137351.68489642</v>
      </c>
      <c r="G3" s="57" t="n">
        <f aca="false">'3Planejamento Produção - INPUT'!G4*$B$20</f>
        <v>1148227.92867489</v>
      </c>
      <c r="H3" s="57" t="n">
        <f aca="false">'3Planejamento Produção - INPUT'!H4*$B$20</f>
        <v>1188571.77810075</v>
      </c>
      <c r="I3" s="57" t="n">
        <f aca="false">'3Planejamento Produção - INPUT'!I4*$B$20</f>
        <v>1138511.30682527</v>
      </c>
      <c r="J3" s="57" t="n">
        <f aca="false">'3Planejamento Produção - INPUT'!J4*$B$20</f>
        <v>1149782.97799541</v>
      </c>
      <c r="K3" s="57" t="n">
        <f aca="false">'3Planejamento Produção - INPUT'!K4*$B$20</f>
        <v>1159533.92468453</v>
      </c>
      <c r="L3" s="57" t="n">
        <f aca="false">'3Planejamento Produção - INPUT'!L4*$B$20</f>
        <v>1051463.39092688</v>
      </c>
      <c r="M3" s="57" t="n">
        <f aca="false">'3Planejamento Produção - INPUT'!M4*$B$20</f>
        <v>1120482.7388095</v>
      </c>
    </row>
    <row r="4" customFormat="false" ht="15.75" hidden="false" customHeight="false" outlineLevel="0" collapsed="false">
      <c r="A4" s="56" t="s">
        <v>102</v>
      </c>
      <c r="B4" s="57" t="n">
        <f aca="false">'3Planejamento Produção - INPUT'!B5*$B$20</f>
        <v>0</v>
      </c>
      <c r="C4" s="57" t="n">
        <f aca="false">'3Planejamento Produção - INPUT'!C5*$B$20</f>
        <v>0</v>
      </c>
      <c r="D4" s="57" t="n">
        <f aca="false">'3Planejamento Produção - INPUT'!D5*$B$20</f>
        <v>0</v>
      </c>
      <c r="E4" s="57" t="n">
        <f aca="false">'3Planejamento Produção - INPUT'!E5*$B$20</f>
        <v>0</v>
      </c>
      <c r="F4" s="57" t="n">
        <f aca="false">'3Planejamento Produção - INPUT'!F5*$B$20</f>
        <v>0</v>
      </c>
      <c r="G4" s="57" t="n">
        <f aca="false">'3Planejamento Produção - INPUT'!G5*$B$20</f>
        <v>0</v>
      </c>
      <c r="H4" s="57" t="n">
        <f aca="false">'3Planejamento Produção - INPUT'!H5*$B$20</f>
        <v>0</v>
      </c>
      <c r="I4" s="57" t="n">
        <f aca="false">'3Planejamento Produção - INPUT'!I5*$B$20</f>
        <v>0</v>
      </c>
      <c r="J4" s="57" t="n">
        <f aca="false">'3Planejamento Produção - INPUT'!J5*$B$20</f>
        <v>0</v>
      </c>
      <c r="K4" s="57" t="n">
        <f aca="false">'3Planejamento Produção - INPUT'!K5*$B$20</f>
        <v>0</v>
      </c>
      <c r="L4" s="57" t="n">
        <f aca="false">'3Planejamento Produção - INPUT'!L5*$B$20</f>
        <v>0</v>
      </c>
      <c r="M4" s="57" t="n">
        <f aca="false">'3Planejamento Produção - INPUT'!M5*$B$20</f>
        <v>0</v>
      </c>
    </row>
    <row r="5" customFormat="false" ht="15.75" hidden="false" customHeight="false" outlineLevel="0" collapsed="false">
      <c r="A5" s="56" t="s">
        <v>103</v>
      </c>
      <c r="B5" s="57" t="n">
        <f aca="false">'3Planejamento Produção - INPUT'!B6*$B$20</f>
        <v>599777.013988936</v>
      </c>
      <c r="C5" s="57" t="n">
        <f aca="false">'3Planejamento Produção - INPUT'!C6*$B$20</f>
        <v>546473.046337862</v>
      </c>
      <c r="D5" s="57" t="n">
        <f aca="false">'3Planejamento Produção - INPUT'!D6*$B$20</f>
        <v>576603.593494139</v>
      </c>
      <c r="E5" s="57" t="n">
        <f aca="false">'3Planejamento Produção - INPUT'!E6*$B$20</f>
        <v>565607.409838606</v>
      </c>
      <c r="F5" s="57" t="n">
        <f aca="false">'3Planejamento Produção - INPUT'!F6*$B$20</f>
        <v>584428.484154006</v>
      </c>
      <c r="G5" s="57" t="n">
        <f aca="false">'3Planejamento Produção - INPUT'!G6*$B$20</f>
        <v>619565.263154035</v>
      </c>
      <c r="H5" s="57" t="n">
        <f aca="false">'3Planejamento Produção - INPUT'!H6*$B$20</f>
        <v>641889.633167329</v>
      </c>
      <c r="I5" s="57" t="n">
        <f aca="false">'3Planejamento Produção - INPUT'!I6*$B$20</f>
        <v>641702.192323429</v>
      </c>
      <c r="J5" s="57" t="n">
        <f aca="false">'3Planejamento Produção - INPUT'!J6*$B$20</f>
        <v>624349.080385919</v>
      </c>
      <c r="K5" s="57" t="n">
        <f aca="false">'3Planejamento Produção - INPUT'!K6*$B$20</f>
        <v>611983.339353751</v>
      </c>
      <c r="L5" s="57" t="n">
        <f aca="false">'3Planejamento Produção - INPUT'!L6*$B$20</f>
        <v>525623.556525033</v>
      </c>
      <c r="M5" s="57" t="n">
        <f aca="false">'3Planejamento Produção - INPUT'!M6*$B$20</f>
        <v>585605.841592393</v>
      </c>
    </row>
    <row r="6" customFormat="false" ht="15.75" hidden="false" customHeight="false" outlineLevel="0" collapsed="false">
      <c r="A6" s="56" t="s">
        <v>104</v>
      </c>
      <c r="B6" s="57" t="n">
        <f aca="false">'3Planejamento Produção - INPUT'!B7*$B$20</f>
        <v>660813.394924345</v>
      </c>
      <c r="C6" s="57" t="n">
        <f aca="false">'3Planejamento Produção - INPUT'!C7*$B$20</f>
        <v>683621.845312905</v>
      </c>
      <c r="D6" s="57" t="n">
        <f aca="false">'3Planejamento Produção - INPUT'!D7*$B$20</f>
        <v>680473.946502607</v>
      </c>
      <c r="E6" s="57" t="n">
        <f aca="false">'3Planejamento Produção - INPUT'!E7*$B$20</f>
        <v>806838.557088322</v>
      </c>
      <c r="F6" s="57" t="n">
        <f aca="false">'3Planejamento Produção - INPUT'!F7*$B$20</f>
        <v>828463.273567</v>
      </c>
      <c r="G6" s="57" t="n">
        <f aca="false">'3Planejamento Produção - INPUT'!G7*$B$20</f>
        <v>802192.534849812</v>
      </c>
      <c r="H6" s="57" t="n">
        <f aca="false">'3Planejamento Produção - INPUT'!H7*$B$20</f>
        <v>822426.587661967</v>
      </c>
      <c r="I6" s="57" t="n">
        <f aca="false">'3Planejamento Produção - INPUT'!I7*$B$20</f>
        <v>751434.925464488</v>
      </c>
      <c r="J6" s="57" t="n">
        <f aca="false">'3Planejamento Produção - INPUT'!J7*$B$20</f>
        <v>793452.75482829</v>
      </c>
      <c r="K6" s="57" t="n">
        <f aca="false">'3Planejamento Produção - INPUT'!K7*$B$20</f>
        <v>794818.491112382</v>
      </c>
      <c r="L6" s="57" t="n">
        <f aca="false">'3Planejamento Produção - INPUT'!L7*$B$20</f>
        <v>734242.518675521</v>
      </c>
      <c r="M6" s="57" t="n">
        <f aca="false">'3Planejamento Produção - INPUT'!M7*$B$20</f>
        <v>726840.262977234</v>
      </c>
    </row>
    <row r="7" customFormat="false" ht="15.75" hidden="false" customHeight="false" outlineLevel="0" collapsed="false">
      <c r="A7" s="56" t="s">
        <v>105</v>
      </c>
      <c r="B7" s="57" t="n">
        <f aca="false">'3Planejamento Produção - INPUT'!B8*$B$20</f>
        <v>0</v>
      </c>
      <c r="C7" s="57" t="n">
        <f aca="false">'3Planejamento Produção - INPUT'!C8*$B$20</f>
        <v>0</v>
      </c>
      <c r="D7" s="57" t="n">
        <f aca="false">'3Planejamento Produção - INPUT'!D8*$B$20</f>
        <v>0</v>
      </c>
      <c r="E7" s="57" t="n">
        <f aca="false">'3Planejamento Produção - INPUT'!E8*$B$20</f>
        <v>0</v>
      </c>
      <c r="F7" s="57" t="n">
        <f aca="false">'3Planejamento Produção - INPUT'!F8*$B$20</f>
        <v>0</v>
      </c>
      <c r="G7" s="57" t="n">
        <f aca="false">'3Planejamento Produção - INPUT'!G8*$B$20</f>
        <v>0</v>
      </c>
      <c r="H7" s="57" t="n">
        <f aca="false">'3Planejamento Produção - INPUT'!H8*$B$20</f>
        <v>0</v>
      </c>
      <c r="I7" s="57" t="n">
        <f aca="false">'3Planejamento Produção - INPUT'!I8*$B$20</f>
        <v>0</v>
      </c>
      <c r="J7" s="57" t="n">
        <f aca="false">'3Planejamento Produção - INPUT'!J8*$B$20</f>
        <v>0</v>
      </c>
      <c r="K7" s="57" t="n">
        <f aca="false">'3Planejamento Produção - INPUT'!K8*$B$20</f>
        <v>0</v>
      </c>
      <c r="L7" s="57" t="n">
        <f aca="false">'3Planejamento Produção - INPUT'!L8*$B$20</f>
        <v>0</v>
      </c>
      <c r="M7" s="57" t="n">
        <f aca="false">'3Planejamento Produção - INPUT'!M8*$B$20</f>
        <v>0</v>
      </c>
    </row>
    <row r="8" customFormat="false" ht="15.75" hidden="false" customHeight="false" outlineLevel="0" collapsed="false">
      <c r="A8" s="56" t="s">
        <v>106</v>
      </c>
      <c r="B8" s="57" t="n">
        <f aca="false">'3Planejamento Produção - INPUT'!B9*$B$20</f>
        <v>0</v>
      </c>
      <c r="C8" s="57" t="n">
        <f aca="false">'3Planejamento Produção - INPUT'!C9*$B$20</f>
        <v>0</v>
      </c>
      <c r="D8" s="57" t="n">
        <f aca="false">'3Planejamento Produção - INPUT'!D9*$B$20</f>
        <v>0</v>
      </c>
      <c r="E8" s="57" t="n">
        <f aca="false">'3Planejamento Produção - INPUT'!E9*$B$20</f>
        <v>0</v>
      </c>
      <c r="F8" s="57" t="n">
        <f aca="false">'3Planejamento Produção - INPUT'!F9*$B$20</f>
        <v>0</v>
      </c>
      <c r="G8" s="57" t="n">
        <f aca="false">'3Planejamento Produção - INPUT'!G9*$B$20</f>
        <v>0</v>
      </c>
      <c r="H8" s="57" t="n">
        <f aca="false">'3Planejamento Produção - INPUT'!H9*$B$20</f>
        <v>0</v>
      </c>
      <c r="I8" s="57" t="n">
        <f aca="false">'3Planejamento Produção - INPUT'!I9*$B$20</f>
        <v>0</v>
      </c>
      <c r="J8" s="57" t="n">
        <f aca="false">'3Planejamento Produção - INPUT'!J9*$B$20</f>
        <v>0</v>
      </c>
      <c r="K8" s="57" t="n">
        <f aca="false">'3Planejamento Produção - INPUT'!K9*$B$20</f>
        <v>0</v>
      </c>
      <c r="L8" s="57" t="n">
        <f aca="false">'3Planejamento Produção - INPUT'!L9*$B$20</f>
        <v>0</v>
      </c>
      <c r="M8" s="57" t="n">
        <f aca="false">'3Planejamento Produção - INPUT'!M9*$B$20</f>
        <v>0</v>
      </c>
    </row>
    <row r="9" customFormat="false" ht="15.75" hidden="false" customHeight="false" outlineLevel="0" collapsed="false">
      <c r="A9" s="56" t="s">
        <v>107</v>
      </c>
      <c r="B9" s="57" t="n">
        <f aca="false">'3Planejamento Produção - INPUT'!B10*$B$20</f>
        <v>1260590.40891328</v>
      </c>
      <c r="C9" s="57" t="n">
        <f aca="false">'3Planejamento Produção - INPUT'!C10*$B$20</f>
        <v>1230094.89165077</v>
      </c>
      <c r="D9" s="57" t="n">
        <f aca="false">'3Planejamento Produção - INPUT'!D10*$B$20</f>
        <v>1257077.53999674</v>
      </c>
      <c r="E9" s="57" t="n">
        <f aca="false">'3Planejamento Produção - INPUT'!E10*$B$20</f>
        <v>1372445.96692693</v>
      </c>
      <c r="F9" s="57" t="n">
        <f aca="false">'3Planejamento Produção - INPUT'!F10*$B$20</f>
        <v>1412891.75772101</v>
      </c>
      <c r="G9" s="57" t="n">
        <f aca="false">'3Planejamento Produção - INPUT'!G10*$B$20</f>
        <v>1421757.79800385</v>
      </c>
      <c r="H9" s="57" t="n">
        <f aca="false">'3Planejamento Produção - INPUT'!H10*$B$20</f>
        <v>1464316.2208293</v>
      </c>
      <c r="I9" s="57" t="n">
        <f aca="false">'3Planejamento Produção - INPUT'!I10*$B$20</f>
        <v>1393137.11778792</v>
      </c>
      <c r="J9" s="57" t="n">
        <f aca="false">'3Planejamento Produção - INPUT'!J10*$B$20</f>
        <v>1417801.83521421</v>
      </c>
      <c r="K9" s="57" t="n">
        <f aca="false">'3Planejamento Produção - INPUT'!K10*$B$20</f>
        <v>1406801.83046613</v>
      </c>
      <c r="L9" s="57" t="n">
        <f aca="false">'3Planejamento Produção - INPUT'!L10*$B$20</f>
        <v>1259866.07520055</v>
      </c>
      <c r="M9" s="57" t="n">
        <f aca="false">'3Planejamento Produção - INPUT'!M10*$B$20</f>
        <v>1312446.10456963</v>
      </c>
    </row>
    <row r="10" customFormat="false" ht="15.75" hidden="false" customHeight="false" outlineLevel="0" collapsed="false">
      <c r="A10" s="56" t="s">
        <v>108</v>
      </c>
      <c r="B10" s="57" t="n">
        <f aca="false">'3Planejamento Produção - INPUT'!B11*$B$20</f>
        <v>0</v>
      </c>
      <c r="C10" s="57" t="n">
        <f aca="false">'3Planejamento Produção - INPUT'!C11*$B$20</f>
        <v>0</v>
      </c>
      <c r="D10" s="57" t="n">
        <f aca="false">'3Planejamento Produção - INPUT'!D11*$B$20</f>
        <v>0</v>
      </c>
      <c r="E10" s="57" t="n">
        <f aca="false">'3Planejamento Produção - INPUT'!E11*$B$20</f>
        <v>0</v>
      </c>
      <c r="F10" s="57" t="n">
        <f aca="false">'3Planejamento Produção - INPUT'!F11*$B$20</f>
        <v>0</v>
      </c>
      <c r="G10" s="57" t="n">
        <f aca="false">'3Planejamento Produção - INPUT'!G11*$B$20</f>
        <v>0</v>
      </c>
      <c r="H10" s="57" t="n">
        <f aca="false">'3Planejamento Produção - INPUT'!H11*$B$20</f>
        <v>0</v>
      </c>
      <c r="I10" s="57" t="n">
        <f aca="false">'3Planejamento Produção - INPUT'!I11*$B$20</f>
        <v>0</v>
      </c>
      <c r="J10" s="57" t="n">
        <f aca="false">'3Planejamento Produção - INPUT'!J11*$B$20</f>
        <v>0</v>
      </c>
      <c r="K10" s="57" t="n">
        <f aca="false">'3Planejamento Produção - INPUT'!K11*$B$20</f>
        <v>0</v>
      </c>
      <c r="L10" s="57" t="n">
        <f aca="false">'3Planejamento Produção - INPUT'!L11*$B$20</f>
        <v>0</v>
      </c>
      <c r="M10" s="57" t="n">
        <f aca="false">'3Planejamento Produção - INPUT'!M11*$B$20</f>
        <v>0</v>
      </c>
    </row>
    <row r="11" customFormat="false" ht="15.75" hidden="false" customHeight="false" outlineLevel="0" collapsed="false">
      <c r="A11" s="56" t="s">
        <v>109</v>
      </c>
      <c r="B11" s="57" t="n">
        <f aca="false">'3Planejamento Produção - INPUT'!B12*$B$20</f>
        <v>1260590.40891328</v>
      </c>
      <c r="C11" s="57" t="n">
        <f aca="false">'3Planejamento Produção - INPUT'!C12*$B$20</f>
        <v>1230094.89165077</v>
      </c>
      <c r="D11" s="57" t="n">
        <f aca="false">'3Planejamento Produção - INPUT'!D12*$B$20</f>
        <v>1257077.53999675</v>
      </c>
      <c r="E11" s="57" t="n">
        <f aca="false">'3Planejamento Produção - INPUT'!E12*$B$20</f>
        <v>1372445.96692693</v>
      </c>
      <c r="F11" s="57" t="n">
        <f aca="false">'3Planejamento Produção - INPUT'!F12*$B$20</f>
        <v>1412891.75772101</v>
      </c>
      <c r="G11" s="57" t="n">
        <f aca="false">'3Planejamento Produção - INPUT'!G12*$B$20</f>
        <v>1421757.79800385</v>
      </c>
      <c r="H11" s="57" t="n">
        <f aca="false">'3Planejamento Produção - INPUT'!H12*$B$20</f>
        <v>1464316.2208293</v>
      </c>
      <c r="I11" s="57" t="n">
        <f aca="false">'3Planejamento Produção - INPUT'!I12*$B$20</f>
        <v>1393137.11778792</v>
      </c>
      <c r="J11" s="57" t="n">
        <f aca="false">'3Planejamento Produção - INPUT'!J12*$B$20</f>
        <v>1417801.83521421</v>
      </c>
      <c r="K11" s="57" t="n">
        <f aca="false">'3Planejamento Produção - INPUT'!K12*$B$20</f>
        <v>1406801.83046613</v>
      </c>
      <c r="L11" s="57" t="n">
        <f aca="false">'3Planejamento Produção - INPUT'!L12*$B$20</f>
        <v>1259866.07520055</v>
      </c>
      <c r="M11" s="57" t="n">
        <f aca="false">'3Planejamento Produção - INPUT'!M12*$B$20</f>
        <v>1312446.10456963</v>
      </c>
    </row>
    <row r="12" customFormat="false" ht="15.75" hidden="false" customHeight="false" outlineLevel="0" collapsed="false">
      <c r="A12" s="56" t="s">
        <v>110</v>
      </c>
      <c r="B12" s="57" t="n">
        <f aca="false">'3Planejamento Produção - INPUT'!B13*$B$20</f>
        <v>0</v>
      </c>
      <c r="C12" s="57" t="n">
        <f aca="false">'3Planejamento Produção - INPUT'!C13*$B$20</f>
        <v>0</v>
      </c>
      <c r="D12" s="57" t="n">
        <f aca="false">'3Planejamento Produção - INPUT'!D13*$B$20</f>
        <v>0</v>
      </c>
      <c r="E12" s="57" t="n">
        <f aca="false">'3Planejamento Produção - INPUT'!E13*$B$20</f>
        <v>0</v>
      </c>
      <c r="F12" s="57" t="n">
        <f aca="false">'3Planejamento Produção - INPUT'!F13*$B$20</f>
        <v>0</v>
      </c>
      <c r="G12" s="57" t="n">
        <f aca="false">'3Planejamento Produção - INPUT'!G13*$B$20</f>
        <v>0</v>
      </c>
      <c r="H12" s="57" t="n">
        <f aca="false">'3Planejamento Produção - INPUT'!H13*$B$20</f>
        <v>0</v>
      </c>
      <c r="I12" s="57" t="n">
        <f aca="false">'3Planejamento Produção - INPUT'!I13*$B$20</f>
        <v>0</v>
      </c>
      <c r="J12" s="57" t="n">
        <f aca="false">'3Planejamento Produção - INPUT'!J13*$B$20</f>
        <v>0</v>
      </c>
      <c r="K12" s="57" t="n">
        <f aca="false">'3Planejamento Produção - INPUT'!K13*$B$20</f>
        <v>0</v>
      </c>
      <c r="L12" s="57" t="n">
        <f aca="false">'3Planejamento Produção - INPUT'!L13*$B$20</f>
        <v>0</v>
      </c>
      <c r="M12" s="57" t="n">
        <f aca="false">'3Planejamento Produção - INPUT'!M13*$B$20</f>
        <v>0</v>
      </c>
    </row>
    <row r="13" customFormat="false" ht="15.75" hidden="false" customHeight="false" outlineLevel="0" collapsed="false">
      <c r="A13" s="56" t="s">
        <v>111</v>
      </c>
      <c r="B13" s="57" t="n">
        <f aca="false">'3Planejamento Produção - INPUT'!B14*$B$20</f>
        <v>0</v>
      </c>
      <c r="C13" s="57" t="n">
        <f aca="false">'3Planejamento Produção - INPUT'!C14*$B$20</f>
        <v>0</v>
      </c>
      <c r="D13" s="57" t="n">
        <f aca="false">'3Planejamento Produção - INPUT'!D14*$B$20</f>
        <v>0</v>
      </c>
      <c r="E13" s="57" t="n">
        <f aca="false">'3Planejamento Produção - INPUT'!E14*$B$20</f>
        <v>0</v>
      </c>
      <c r="F13" s="57" t="n">
        <f aca="false">'3Planejamento Produção - INPUT'!F14*$B$20</f>
        <v>0</v>
      </c>
      <c r="G13" s="57" t="n">
        <f aca="false">'3Planejamento Produção - INPUT'!G14*$B$20</f>
        <v>0</v>
      </c>
      <c r="H13" s="57" t="n">
        <f aca="false">'3Planejamento Produção - INPUT'!H14*$B$20</f>
        <v>0</v>
      </c>
      <c r="I13" s="57" t="n">
        <f aca="false">'3Planejamento Produção - INPUT'!I14*$B$20</f>
        <v>0</v>
      </c>
      <c r="J13" s="57" t="n">
        <f aca="false">'3Planejamento Produção - INPUT'!J14*$B$20</f>
        <v>0</v>
      </c>
      <c r="K13" s="57" t="n">
        <f aca="false">'3Planejamento Produção - INPUT'!K14*$B$20</f>
        <v>0</v>
      </c>
      <c r="L13" s="57" t="n">
        <f aca="false">'3Planejamento Produção - INPUT'!L14*$B$20</f>
        <v>0</v>
      </c>
      <c r="M13" s="57" t="n">
        <f aca="false">'3Planejamento Produção - INPUT'!M14*$B$20</f>
        <v>0</v>
      </c>
    </row>
    <row r="14" customFormat="false" ht="15.75" hidden="false" customHeight="false" outlineLevel="0" collapsed="false">
      <c r="A14" s="56" t="s">
        <v>112</v>
      </c>
      <c r="B14" s="57" t="n">
        <f aca="false">'3Planejamento Produção - INPUT'!B15*$B$20</f>
        <v>474390.89440342</v>
      </c>
      <c r="C14" s="57" t="n">
        <f aca="false">'3Planejamento Produção - INPUT'!C15*$B$20</f>
        <v>457319.946441967</v>
      </c>
      <c r="D14" s="57" t="n">
        <f aca="false">'3Planejamento Produção - INPUT'!D15*$B$20</f>
        <v>385051.649299158</v>
      </c>
      <c r="E14" s="57" t="n">
        <f aca="false">'3Planejamento Produção - INPUT'!E15*$B$20</f>
        <v>522009.763930424</v>
      </c>
      <c r="F14" s="57" t="n">
        <f aca="false">'3Planejamento Produção - INPUT'!F15*$B$20</f>
        <v>527210.938538106</v>
      </c>
      <c r="G14" s="57" t="n">
        <f aca="false">'3Planejamento Produção - INPUT'!G15*$B$20</f>
        <v>532467.78232443</v>
      </c>
      <c r="H14" s="57" t="n">
        <f aca="false">'3Planejamento Produção - INPUT'!H15*$B$20</f>
        <v>560315.955250413</v>
      </c>
      <c r="I14" s="57" t="n">
        <f aca="false">'3Planejamento Produção - INPUT'!I15*$B$20</f>
        <v>527285.440406607</v>
      </c>
      <c r="J14" s="57" t="n">
        <f aca="false">'3Planejamento Produção - INPUT'!J15*$B$20</f>
        <v>523743.978637014</v>
      </c>
      <c r="K14" s="57" t="n">
        <f aca="false">'3Planejamento Produção - INPUT'!K15*$B$20</f>
        <v>536104.513516067</v>
      </c>
      <c r="L14" s="57" t="n">
        <f aca="false">'3Planejamento Produção - INPUT'!L15*$B$20</f>
        <v>471719.741525447</v>
      </c>
      <c r="M14" s="57" t="n">
        <f aca="false">'3Planejamento Produção - INPUT'!M15*$B$20</f>
        <v>488464.12951789</v>
      </c>
    </row>
    <row r="15" customFormat="false" ht="15.75" hidden="false" customHeight="false" outlineLevel="0" collapsed="false">
      <c r="A15" s="56" t="s">
        <v>113</v>
      </c>
      <c r="B15" s="57" t="n">
        <f aca="false">'3Planejamento Produção - INPUT'!B16*$B$20</f>
        <v>592837.543225209</v>
      </c>
      <c r="C15" s="57" t="n">
        <f aca="false">'3Planejamento Produção - INPUT'!C16*$B$20</f>
        <v>551331.095874749</v>
      </c>
      <c r="D15" s="57" t="n">
        <f aca="false">'3Planejamento Produção - INPUT'!D16*$B$20</f>
        <v>678843.054873898</v>
      </c>
      <c r="E15" s="57" t="n">
        <f aca="false">'3Planejamento Produção - INPUT'!E16*$B$20</f>
        <v>651574.151395314</v>
      </c>
      <c r="F15" s="57" t="n">
        <f aca="false">'3Planejamento Produção - INPUT'!F16*$B$20</f>
        <v>637681.27231241</v>
      </c>
      <c r="G15" s="57" t="n">
        <f aca="false">'3Planejamento Produção - INPUT'!G16*$B$20</f>
        <v>687994.772363659</v>
      </c>
      <c r="H15" s="57" t="n">
        <f aca="false">'3Planejamento Produção - INPUT'!H16*$B$20</f>
        <v>700108.892389257</v>
      </c>
      <c r="I15" s="57" t="n">
        <f aca="false">'3Planejamento Produção - INPUT'!I16*$B$20</f>
        <v>636354.85374873</v>
      </c>
      <c r="J15" s="57" t="n">
        <f aca="false">'3Planejamento Produção - INPUT'!J16*$B$20</f>
        <v>675250.698377472</v>
      </c>
      <c r="K15" s="57" t="n">
        <f aca="false">'3Planejamento Produção - INPUT'!K16*$B$20</f>
        <v>669787.796999254</v>
      </c>
      <c r="L15" s="57" t="n">
        <f aca="false">'3Planejamento Produção - INPUT'!L16*$B$20</f>
        <v>565428.397481056</v>
      </c>
      <c r="M15" s="57" t="n">
        <f aca="false">'3Planejamento Produção - INPUT'!M16*$B$20</f>
        <v>628825.573757082</v>
      </c>
    </row>
    <row r="16" customFormat="false" ht="15.75" hidden="false" customHeight="false" outlineLevel="0" collapsed="false">
      <c r="A16" s="56" t="s">
        <v>114</v>
      </c>
      <c r="B16" s="57" t="n">
        <f aca="false">'3Planejamento Produção - INPUT'!B17*$B$20</f>
        <v>1067228.43762863</v>
      </c>
      <c r="C16" s="57" t="n">
        <f aca="false">'3Planejamento Produção - INPUT'!C17*$B$20</f>
        <v>1008651.04231672</v>
      </c>
      <c r="D16" s="57" t="n">
        <f aca="false">'3Planejamento Produção - INPUT'!D17*$B$20</f>
        <v>1063894.70417306</v>
      </c>
      <c r="E16" s="57" t="n">
        <f aca="false">'3Planejamento Produção - INPUT'!E17*$B$20</f>
        <v>1173583.91532574</v>
      </c>
      <c r="F16" s="57" t="n">
        <f aca="false">'3Planejamento Produção - INPUT'!F17*$B$20</f>
        <v>1164892.21085052</v>
      </c>
      <c r="G16" s="57" t="n">
        <f aca="false">'3Planejamento Produção - INPUT'!G17*$B$20</f>
        <v>1220462.55468809</v>
      </c>
      <c r="H16" s="57" t="n">
        <f aca="false">'3Planejamento Produção - INPUT'!H17*$B$20</f>
        <v>1260424.84763967</v>
      </c>
      <c r="I16" s="57" t="n">
        <f aca="false">'3Planejamento Produção - INPUT'!I17*$B$20</f>
        <v>1163640.29415534</v>
      </c>
      <c r="J16" s="57" t="n">
        <f aca="false">'3Planejamento Produção - INPUT'!J17*$B$20</f>
        <v>1198994.67701449</v>
      </c>
      <c r="K16" s="57" t="n">
        <f aca="false">'3Planejamento Produção - INPUT'!K17*$B$20</f>
        <v>1205892.31051532</v>
      </c>
      <c r="L16" s="57" t="n">
        <f aca="false">'3Planejamento Produção - INPUT'!L17*$B$20</f>
        <v>1037148.1390065</v>
      </c>
      <c r="M16" s="57" t="n">
        <f aca="false">'3Planejamento Produção - INPUT'!M17*$B$20</f>
        <v>1117289.70327497</v>
      </c>
    </row>
    <row r="17" customFormat="false" ht="15.75" hidden="false" customHeight="false" outlineLevel="0" collapsed="false">
      <c r="A17" s="56" t="s">
        <v>115</v>
      </c>
      <c r="B17" s="57" t="n">
        <f aca="false">'3Planejamento Produção - INPUT'!B18*$B$20</f>
        <v>143855.055938658</v>
      </c>
      <c r="C17" s="57" t="n">
        <f aca="false">'3Planejamento Produção - INPUT'!C18*$B$20</f>
        <v>174652.85938085</v>
      </c>
      <c r="D17" s="57" t="n">
        <f aca="false">'3Planejamento Produção - INPUT'!D18*$B$20</f>
        <v>143825.052337558</v>
      </c>
      <c r="E17" s="57" t="n">
        <f aca="false">'3Planejamento Produção - INPUT'!E18*$B$20</f>
        <v>144812.255237932</v>
      </c>
      <c r="F17" s="57" t="n">
        <f aca="false">'3Planejamento Produção - INPUT'!F18*$B$20</f>
        <v>193959.029897655</v>
      </c>
      <c r="G17" s="57" t="n">
        <f aca="false">'3Planejamento Produção - INPUT'!G18*$B$20</f>
        <v>145234.162992193</v>
      </c>
      <c r="H17" s="57" t="n">
        <f aca="false">'3Planejamento Produção - INPUT'!H18*$B$20</f>
        <v>145593.823628757</v>
      </c>
      <c r="I17" s="57" t="n">
        <f aca="false">'3Planejamento Produção - INPUT'!I18*$B$20</f>
        <v>176047.762647398</v>
      </c>
      <c r="J17" s="57" t="n">
        <f aca="false">'3Planejamento Produção - INPUT'!J18*$B$20</f>
        <v>162940.95209313</v>
      </c>
      <c r="K17" s="57" t="n">
        <f aca="false">'3Planejamento Produção - INPUT'!K18*$B$20</f>
        <v>145103.030794638</v>
      </c>
      <c r="L17" s="57" t="n">
        <f aca="false">'3Planejamento Produção - INPUT'!L18*$B$20</f>
        <v>174909.333251059</v>
      </c>
      <c r="M17" s="57" t="n">
        <f aca="false">'3Planejamento Produção - INPUT'!M18*$B$20</f>
        <v>144305.607329475</v>
      </c>
    </row>
    <row r="18" customFormat="false" ht="15.75" hidden="false" customHeight="false" outlineLevel="0" collapsed="false">
      <c r="A18" s="56" t="s">
        <v>116</v>
      </c>
      <c r="B18" s="57" t="n">
        <f aca="false">'3Planejamento Produção - INPUT'!B19*$B$20</f>
        <v>385926.883</v>
      </c>
      <c r="C18" s="57" t="n">
        <f aca="false">'3Planejamento Produção - INPUT'!C19*$B$20</f>
        <v>385926.883</v>
      </c>
      <c r="D18" s="57" t="n">
        <f aca="false">'3Planejamento Produção - INPUT'!D19*$B$20</f>
        <v>385926.883</v>
      </c>
      <c r="E18" s="57" t="n">
        <f aca="false">'3Planejamento Produção - INPUT'!E19*$B$20</f>
        <v>385926.883</v>
      </c>
      <c r="F18" s="57" t="n">
        <f aca="false">'3Planejamento Produção - INPUT'!F19*$B$20</f>
        <v>385926.883</v>
      </c>
      <c r="G18" s="57" t="n">
        <f aca="false">'3Planejamento Produção - INPUT'!G19*$B$20</f>
        <v>385926.883</v>
      </c>
      <c r="H18" s="57" t="n">
        <f aca="false">'3Planejamento Produção - INPUT'!H19*$B$20</f>
        <v>385926.883</v>
      </c>
      <c r="I18" s="57" t="n">
        <f aca="false">'3Planejamento Produção - INPUT'!I19*$B$20</f>
        <v>385926.883</v>
      </c>
      <c r="J18" s="57" t="n">
        <f aca="false">'3Planejamento Produção - INPUT'!J19*$B$20</f>
        <v>385926.883</v>
      </c>
      <c r="K18" s="57" t="n">
        <f aca="false">'3Planejamento Produção - INPUT'!K19*$B$20</f>
        <v>385926.883</v>
      </c>
      <c r="L18" s="57" t="n">
        <f aca="false">'3Planejamento Produção - INPUT'!L19*$B$20</f>
        <v>385926.883</v>
      </c>
      <c r="M18" s="57" t="n">
        <f aca="false">'3Planejamento Produção - INPUT'!M19*$B$20</f>
        <v>385926.883</v>
      </c>
    </row>
    <row r="20" customFormat="false" ht="15.75" hidden="false" customHeight="false" outlineLevel="0" collapsed="false">
      <c r="A20" s="58" t="s">
        <v>120</v>
      </c>
      <c r="B20" s="0" t="n">
        <v>1000</v>
      </c>
    </row>
  </sheetData>
  <mergeCells count="1">
    <mergeCell ref="B1:M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1"/>
  <sheetViews>
    <sheetView showFormulas="false" showGridLines="true" showRowColHeaders="true" showZeros="true" rightToLeft="false" tabSelected="false" showOutlineSymbols="true" defaultGridColor="true" view="normal" topLeftCell="A1" colorId="64" zoomScale="140" zoomScaleNormal="140" zoomScalePageLayoutView="100" workbookViewId="0">
      <selection pane="topLeft" activeCell="F7" activeCellId="0" sqref="F7"/>
    </sheetView>
  </sheetViews>
  <sheetFormatPr defaultColWidth="11" defaultRowHeight="15.75" zeroHeight="false" outlineLevelRow="0" outlineLevelCol="0"/>
  <cols>
    <col collapsed="false" customWidth="true" hidden="false" outlineLevel="0" max="1" min="1" style="0" width="17"/>
  </cols>
  <sheetData>
    <row r="1" customFormat="false" ht="17.35" hidden="false" customHeight="true" outlineLevel="0" collapsed="false">
      <c r="A1" s="59" t="s">
        <v>121</v>
      </c>
      <c r="B1" s="60" t="s">
        <v>122</v>
      </c>
      <c r="C1" s="60"/>
      <c r="D1" s="60"/>
      <c r="E1" s="60"/>
      <c r="F1" s="60"/>
      <c r="G1" s="60"/>
      <c r="H1" s="60"/>
      <c r="I1" s="60"/>
      <c r="J1" s="60"/>
      <c r="K1" s="60"/>
      <c r="L1" s="60"/>
      <c r="M1" s="60"/>
    </row>
    <row r="2" customFormat="false" ht="15.75" hidden="false" customHeight="false" outlineLevel="0" collapsed="false">
      <c r="A2" s="61" t="s">
        <v>119</v>
      </c>
      <c r="B2" s="62" t="n">
        <v>46023</v>
      </c>
      <c r="C2" s="62" t="n">
        <f aca="false">B2 + 35</f>
        <v>46058</v>
      </c>
      <c r="D2" s="62" t="n">
        <f aca="false">C2 + 30</f>
        <v>46088</v>
      </c>
      <c r="E2" s="62" t="n">
        <f aca="false">D2 + 30</f>
        <v>46118</v>
      </c>
      <c r="F2" s="62" t="n">
        <f aca="false">E2 + 30</f>
        <v>46148</v>
      </c>
      <c r="G2" s="62" t="n">
        <f aca="false">F2 + 30</f>
        <v>46178</v>
      </c>
      <c r="H2" s="62" t="n">
        <f aca="false">G2 + 30</f>
        <v>46208</v>
      </c>
      <c r="I2" s="62" t="n">
        <f aca="false">H2 + 30</f>
        <v>46238</v>
      </c>
      <c r="J2" s="62" t="n">
        <f aca="false">I2 + 30</f>
        <v>46268</v>
      </c>
      <c r="K2" s="62" t="n">
        <f aca="false">J2 + 30</f>
        <v>46298</v>
      </c>
      <c r="L2" s="62" t="n">
        <f aca="false">K2 + 30</f>
        <v>46328</v>
      </c>
      <c r="M2" s="62" t="n">
        <f aca="false">L2 + 30</f>
        <v>46358</v>
      </c>
    </row>
    <row r="3" customFormat="false" ht="15.75" hidden="false" customHeight="false" outlineLevel="0" collapsed="false">
      <c r="A3" s="63" t="s">
        <v>123</v>
      </c>
      <c r="B3" s="64" t="n">
        <v>3.27822183223059</v>
      </c>
      <c r="C3" s="64" t="n">
        <v>3.35949285542862</v>
      </c>
      <c r="D3" s="64" t="n">
        <v>3.28738273377368</v>
      </c>
      <c r="E3" s="64" t="n">
        <v>3.01104385861773</v>
      </c>
      <c r="F3" s="64" t="n">
        <v>2.92484896837796</v>
      </c>
      <c r="G3" s="64" t="n">
        <v>2.90660969526739</v>
      </c>
      <c r="H3" s="64" t="n">
        <v>2.82213291174198</v>
      </c>
      <c r="I3" s="64" t="n">
        <v>2.9663232335391</v>
      </c>
      <c r="J3" s="64" t="n">
        <v>2.91471974246362</v>
      </c>
      <c r="K3" s="64" t="n">
        <v>2.93751039450292</v>
      </c>
      <c r="L3" s="64" t="n">
        <v>3.28010657747266</v>
      </c>
      <c r="M3" s="64" t="n">
        <v>3.14869691457168</v>
      </c>
    </row>
    <row r="4" customFormat="false" ht="15.75" hidden="false" customHeight="false" outlineLevel="0" collapsed="false">
      <c r="A4" s="63" t="s">
        <v>124</v>
      </c>
      <c r="B4" s="64" t="n">
        <v>1.48408897482972</v>
      </c>
      <c r="C4" s="64" t="n">
        <v>1.37425160040094</v>
      </c>
      <c r="D4" s="64" t="n">
        <v>1.48881161277667</v>
      </c>
      <c r="E4" s="64" t="n">
        <v>1.3200198889732</v>
      </c>
      <c r="F4" s="64" t="n">
        <v>1.32444175319198</v>
      </c>
      <c r="G4" s="64" t="n">
        <v>1.27360568753251</v>
      </c>
      <c r="H4" s="64" t="n">
        <v>1.27830341342915</v>
      </c>
      <c r="I4" s="64" t="n">
        <v>1.3434574280404</v>
      </c>
      <c r="J4" s="64" t="n">
        <v>1.2771983693027</v>
      </c>
      <c r="K4" s="64" t="n">
        <v>1.33008969243801</v>
      </c>
      <c r="L4" s="64" t="n">
        <v>1.43735499021526</v>
      </c>
      <c r="M4" s="64" t="n">
        <v>1.42639954059472</v>
      </c>
    </row>
    <row r="5" customFormat="false" ht="15.75" hidden="false" customHeight="false" outlineLevel="0" collapsed="false">
      <c r="A5" s="63" t="s">
        <v>125</v>
      </c>
      <c r="B5" s="64"/>
      <c r="C5" s="64"/>
      <c r="D5" s="64"/>
      <c r="E5" s="64"/>
      <c r="F5" s="64"/>
      <c r="G5" s="64"/>
      <c r="H5" s="64"/>
      <c r="I5" s="64"/>
      <c r="J5" s="64"/>
      <c r="K5" s="64"/>
      <c r="L5" s="64"/>
      <c r="M5" s="64"/>
    </row>
    <row r="6" customFormat="false" ht="15.75" hidden="false" customHeight="false" outlineLevel="0" collapsed="false">
      <c r="A6" s="63" t="s">
        <v>126</v>
      </c>
      <c r="B6" s="64" t="n">
        <v>42.3959899378023</v>
      </c>
      <c r="C6" s="64" t="n">
        <v>46.5313713464997</v>
      </c>
      <c r="D6" s="64" t="n">
        <v>44.0998643381824</v>
      </c>
      <c r="E6" s="64" t="n">
        <v>44.9572261743456</v>
      </c>
      <c r="F6" s="64" t="n">
        <v>43.5094129383661</v>
      </c>
      <c r="G6" s="64" t="n">
        <v>41.0419075474832</v>
      </c>
      <c r="H6" s="64" t="n">
        <v>39.6145052608621</v>
      </c>
      <c r="I6" s="64" t="n">
        <v>39.6260766352249</v>
      </c>
      <c r="J6" s="64" t="n">
        <v>40.7274408641437</v>
      </c>
      <c r="K6" s="64" t="n">
        <v>41.5503799120608</v>
      </c>
      <c r="L6" s="64" t="n">
        <v>48.3770940901294</v>
      </c>
      <c r="M6" s="64" t="n">
        <v>43.4219374944335</v>
      </c>
    </row>
    <row r="7" customFormat="false" ht="15.75" hidden="false" customHeight="false" outlineLevel="0" collapsed="false">
      <c r="A7" s="63" t="s">
        <v>127</v>
      </c>
      <c r="B7" s="64" t="n">
        <v>42.2149936188775</v>
      </c>
      <c r="C7" s="64" t="n">
        <v>40.8065269436079</v>
      </c>
      <c r="D7" s="64" t="n">
        <v>40.9952995164277</v>
      </c>
      <c r="E7" s="64" t="n">
        <v>34.5747398967527</v>
      </c>
      <c r="F7" s="64" t="n">
        <v>33.6722630200504</v>
      </c>
      <c r="G7" s="64" t="n">
        <v>34.7749848547553</v>
      </c>
      <c r="H7" s="64" t="n">
        <v>33.9194204911404</v>
      </c>
      <c r="I7" s="64" t="n">
        <v>37.1239508634183</v>
      </c>
      <c r="J7" s="64" t="n">
        <v>35.1580268393384</v>
      </c>
      <c r="K7" s="64" t="n">
        <v>35.0976148163816</v>
      </c>
      <c r="L7" s="64" t="n">
        <v>37.9932141498986</v>
      </c>
      <c r="M7" s="64" t="n">
        <v>38.3801430258326</v>
      </c>
    </row>
    <row r="8" customFormat="false" ht="15.75" hidden="false" customHeight="false" outlineLevel="0" collapsed="false">
      <c r="A8" s="63" t="s">
        <v>128</v>
      </c>
      <c r="B8" s="64"/>
      <c r="C8" s="64"/>
      <c r="D8" s="64"/>
      <c r="E8" s="64"/>
      <c r="F8" s="64"/>
      <c r="G8" s="64"/>
      <c r="H8" s="64"/>
      <c r="I8" s="64"/>
      <c r="J8" s="64"/>
      <c r="K8" s="64"/>
      <c r="L8" s="64"/>
      <c r="M8" s="64"/>
    </row>
    <row r="9" customFormat="false" ht="15.75" hidden="false" customHeight="false" outlineLevel="0" collapsed="false">
      <c r="A9" s="63" t="s">
        <v>105</v>
      </c>
      <c r="B9" s="64"/>
      <c r="C9" s="64"/>
      <c r="D9" s="64"/>
      <c r="E9" s="64"/>
      <c r="F9" s="64"/>
      <c r="G9" s="64"/>
      <c r="H9" s="64"/>
      <c r="I9" s="64"/>
      <c r="J9" s="64"/>
      <c r="K9" s="64"/>
      <c r="L9" s="64"/>
      <c r="M9" s="64"/>
    </row>
    <row r="10" customFormat="false" ht="15.75" hidden="false" customHeight="false" outlineLevel="0" collapsed="false">
      <c r="A10" s="63" t="s">
        <v>106</v>
      </c>
      <c r="B10" s="64"/>
      <c r="C10" s="64"/>
      <c r="D10" s="64"/>
      <c r="E10" s="64"/>
      <c r="F10" s="64"/>
      <c r="G10" s="64"/>
      <c r="H10" s="64"/>
      <c r="I10" s="64"/>
      <c r="J10" s="64"/>
      <c r="K10" s="64"/>
      <c r="L10" s="64"/>
      <c r="M10" s="64"/>
    </row>
    <row r="11" customFormat="false" ht="15.75" hidden="false" customHeight="false" outlineLevel="0" collapsed="false">
      <c r="A11" s="63" t="s">
        <v>107</v>
      </c>
      <c r="B11" s="64" t="n">
        <v>7.10506424792139</v>
      </c>
      <c r="C11" s="64" t="n">
        <v>7.19230769230769</v>
      </c>
      <c r="D11" s="64" t="n">
        <v>7.55857898715042</v>
      </c>
      <c r="E11" s="64" t="n">
        <v>7.10506424792139</v>
      </c>
      <c r="F11" s="64" t="n">
        <v>7.05794947994056</v>
      </c>
      <c r="G11" s="64" t="n">
        <v>7.1972581873572</v>
      </c>
      <c r="H11" s="64" t="n">
        <v>7.12678169542386</v>
      </c>
      <c r="I11" s="64" t="n">
        <v>7.1806500377929</v>
      </c>
      <c r="J11" s="64" t="n">
        <v>7.10506424792139</v>
      </c>
      <c r="K11" s="64" t="n">
        <v>7.1806500377929</v>
      </c>
      <c r="L11" s="64" t="n">
        <v>7.14285714285714</v>
      </c>
      <c r="M11" s="64" t="n">
        <v>7.1806500377929</v>
      </c>
    </row>
    <row r="12" customFormat="false" ht="15.75" hidden="false" customHeight="false" outlineLevel="0" collapsed="false">
      <c r="A12" s="63" t="s">
        <v>108</v>
      </c>
      <c r="B12" s="64" t="n">
        <v>0</v>
      </c>
      <c r="C12" s="64" t="n">
        <v>0</v>
      </c>
      <c r="D12" s="64" t="n">
        <v>0</v>
      </c>
      <c r="E12" s="64" t="n">
        <v>0</v>
      </c>
      <c r="F12" s="64" t="n">
        <v>0</v>
      </c>
      <c r="G12" s="64" t="n">
        <v>0</v>
      </c>
      <c r="H12" s="64" t="n">
        <v>0</v>
      </c>
      <c r="I12" s="64" t="n">
        <v>0</v>
      </c>
      <c r="J12" s="64" t="n">
        <v>0</v>
      </c>
      <c r="K12" s="64" t="n">
        <v>0</v>
      </c>
      <c r="L12" s="64" t="n">
        <v>0</v>
      </c>
      <c r="M12" s="64" t="n">
        <v>0</v>
      </c>
    </row>
    <row r="13" customFormat="false" ht="15.75" hidden="false" customHeight="false" outlineLevel="0" collapsed="false">
      <c r="A13" s="63" t="s">
        <v>109</v>
      </c>
      <c r="B13" s="64" t="n">
        <v>10.77</v>
      </c>
      <c r="C13" s="64" t="n">
        <v>10.77</v>
      </c>
      <c r="D13" s="64" t="n">
        <v>10.77</v>
      </c>
      <c r="E13" s="64" t="n">
        <v>10.77</v>
      </c>
      <c r="F13" s="64" t="n">
        <v>10.77</v>
      </c>
      <c r="G13" s="64" t="n">
        <v>10.77</v>
      </c>
      <c r="H13" s="64" t="n">
        <v>10.77</v>
      </c>
      <c r="I13" s="64" t="n">
        <v>10.77</v>
      </c>
      <c r="J13" s="64" t="n">
        <v>10.77</v>
      </c>
      <c r="K13" s="64" t="n">
        <v>10.77</v>
      </c>
      <c r="L13" s="64" t="n">
        <v>10.77</v>
      </c>
      <c r="M13" s="64" t="n">
        <v>10.77</v>
      </c>
    </row>
    <row r="14" customFormat="false" ht="15.75" hidden="false" customHeight="false" outlineLevel="0" collapsed="false">
      <c r="A14" s="63" t="s">
        <v>110</v>
      </c>
      <c r="B14" s="64"/>
      <c r="C14" s="64"/>
      <c r="D14" s="64"/>
      <c r="E14" s="64"/>
      <c r="F14" s="64"/>
      <c r="G14" s="64"/>
      <c r="H14" s="64"/>
      <c r="I14" s="64"/>
      <c r="J14" s="64"/>
      <c r="K14" s="64"/>
      <c r="L14" s="64"/>
      <c r="M14" s="64"/>
    </row>
    <row r="15" customFormat="false" ht="15.75" hidden="false" customHeight="false" outlineLevel="0" collapsed="false">
      <c r="A15" s="63" t="s">
        <v>111</v>
      </c>
      <c r="B15" s="64"/>
      <c r="C15" s="64"/>
      <c r="D15" s="64"/>
      <c r="E15" s="64"/>
      <c r="F15" s="64"/>
      <c r="G15" s="64"/>
      <c r="H15" s="64"/>
      <c r="I15" s="64"/>
      <c r="J15" s="64"/>
      <c r="K15" s="64"/>
      <c r="L15" s="64"/>
      <c r="M15" s="64"/>
    </row>
    <row r="16" customFormat="false" ht="15.75" hidden="false" customHeight="false" outlineLevel="0" collapsed="false">
      <c r="A16" s="63" t="s">
        <v>112</v>
      </c>
      <c r="B16" s="64" t="n">
        <v>29.95</v>
      </c>
      <c r="C16" s="64" t="n">
        <v>29.95</v>
      </c>
      <c r="D16" s="64" t="n">
        <v>29.95</v>
      </c>
      <c r="E16" s="64" t="n">
        <v>29.95</v>
      </c>
      <c r="F16" s="64" t="n">
        <v>29.95</v>
      </c>
      <c r="G16" s="64" t="n">
        <v>29.95</v>
      </c>
      <c r="H16" s="64" t="n">
        <v>29.95</v>
      </c>
      <c r="I16" s="64" t="n">
        <v>29.95</v>
      </c>
      <c r="J16" s="64" t="n">
        <v>29.95</v>
      </c>
      <c r="K16" s="64" t="n">
        <v>29.95</v>
      </c>
      <c r="L16" s="64" t="n">
        <v>29.95</v>
      </c>
      <c r="M16" s="64" t="n">
        <v>29.95</v>
      </c>
    </row>
    <row r="17" customFormat="false" ht="15.75" hidden="false" customHeight="false" outlineLevel="0" collapsed="false">
      <c r="A17" s="63" t="s">
        <v>113</v>
      </c>
      <c r="B17" s="64" t="n">
        <v>32.17</v>
      </c>
      <c r="C17" s="64" t="n">
        <v>32.17</v>
      </c>
      <c r="D17" s="64" t="n">
        <v>32.17</v>
      </c>
      <c r="E17" s="64" t="n">
        <v>32.17</v>
      </c>
      <c r="F17" s="64" t="n">
        <v>32.17</v>
      </c>
      <c r="G17" s="64" t="n">
        <v>32.17</v>
      </c>
      <c r="H17" s="64" t="n">
        <v>32.17</v>
      </c>
      <c r="I17" s="64" t="n">
        <v>32.17</v>
      </c>
      <c r="J17" s="64" t="n">
        <v>32.17</v>
      </c>
      <c r="K17" s="64" t="n">
        <v>32.17</v>
      </c>
      <c r="L17" s="64" t="n">
        <v>32.17</v>
      </c>
      <c r="M17" s="64" t="n">
        <v>32.17</v>
      </c>
    </row>
    <row r="18" customFormat="false" ht="15.75" hidden="false" customHeight="false" outlineLevel="0" collapsed="false">
      <c r="A18" s="63" t="s">
        <v>129</v>
      </c>
      <c r="B18" s="64" t="n">
        <v>0.868816956875822</v>
      </c>
      <c r="C18" s="64" t="n">
        <v>0.868816956875822</v>
      </c>
      <c r="D18" s="64" t="n">
        <v>0.868816956875822</v>
      </c>
      <c r="E18" s="64" t="n">
        <v>0.868816956875822</v>
      </c>
      <c r="F18" s="64" t="n">
        <v>0.868816956875822</v>
      </c>
      <c r="G18" s="64" t="n">
        <v>0.868816956875822</v>
      </c>
      <c r="H18" s="64" t="n">
        <v>0.868816956875822</v>
      </c>
      <c r="I18" s="64" t="n">
        <v>0.868816956875822</v>
      </c>
      <c r="J18" s="64" t="n">
        <v>0.868816956875822</v>
      </c>
      <c r="K18" s="64" t="n">
        <v>0.868816956875822</v>
      </c>
      <c r="L18" s="64" t="n">
        <v>0.868816956875822</v>
      </c>
      <c r="M18" s="64" t="n">
        <v>0.868816956875822</v>
      </c>
    </row>
    <row r="20" customFormat="false" ht="15.75" hidden="false" customHeight="true" outlineLevel="0" collapsed="false">
      <c r="A20" s="65" t="s">
        <v>130</v>
      </c>
      <c r="B20" s="65"/>
      <c r="C20" s="65"/>
      <c r="D20" s="65"/>
      <c r="E20" s="65"/>
      <c r="F20" s="65"/>
    </row>
    <row r="21" customFormat="false" ht="21" hidden="false" customHeight="true" outlineLevel="0" collapsed="false">
      <c r="A21" s="65"/>
      <c r="B21" s="65"/>
      <c r="C21" s="65"/>
      <c r="D21" s="65"/>
      <c r="E21" s="65"/>
      <c r="F21" s="65"/>
    </row>
  </sheetData>
  <mergeCells count="2">
    <mergeCell ref="B1:M1"/>
    <mergeCell ref="A20:F2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7"/>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G23" activeCellId="0" sqref="G23"/>
    </sheetView>
  </sheetViews>
  <sheetFormatPr defaultColWidth="11" defaultRowHeight="15.75" zeroHeight="false" outlineLevelRow="0" outlineLevelCol="0"/>
  <cols>
    <col collapsed="false" customWidth="true" hidden="false" outlineLevel="0" max="1" min="1" style="0" width="15.63"/>
    <col collapsed="false" customWidth="true" hidden="false" outlineLevel="0" max="2" min="2" style="0" width="17"/>
  </cols>
  <sheetData>
    <row r="1" customFormat="false" ht="15.75" hidden="false" customHeight="false" outlineLevel="0" collapsed="false">
      <c r="C1" s="55" t="s">
        <v>131</v>
      </c>
      <c r="D1" s="55"/>
      <c r="E1" s="55"/>
      <c r="F1" s="55"/>
      <c r="G1" s="55"/>
      <c r="H1" s="55"/>
      <c r="I1" s="55"/>
      <c r="J1" s="55"/>
      <c r="K1" s="55"/>
      <c r="L1" s="55"/>
      <c r="M1" s="55"/>
      <c r="N1" s="55"/>
    </row>
    <row r="2" customFormat="false" ht="15.75" hidden="false" customHeight="false" outlineLevel="0" collapsed="false">
      <c r="A2" s="54" t="s">
        <v>62</v>
      </c>
      <c r="B2" s="54" t="s">
        <v>119</v>
      </c>
      <c r="C2" s="55" t="s">
        <v>76</v>
      </c>
      <c r="D2" s="55" t="s">
        <v>77</v>
      </c>
      <c r="E2" s="55" t="s">
        <v>78</v>
      </c>
      <c r="F2" s="55" t="s">
        <v>79</v>
      </c>
      <c r="G2" s="55" t="s">
        <v>80</v>
      </c>
      <c r="H2" s="55" t="s">
        <v>81</v>
      </c>
      <c r="I2" s="55" t="s">
        <v>82</v>
      </c>
      <c r="J2" s="55" t="s">
        <v>83</v>
      </c>
      <c r="K2" s="55" t="s">
        <v>84</v>
      </c>
      <c r="L2" s="55" t="s">
        <v>85</v>
      </c>
      <c r="M2" s="55" t="s">
        <v>86</v>
      </c>
      <c r="N2" s="55" t="s">
        <v>87</v>
      </c>
    </row>
    <row r="3" customFormat="false" ht="15.75" hidden="false" customHeight="false" outlineLevel="0" collapsed="false">
      <c r="A3" s="54" t="s">
        <v>132</v>
      </c>
      <c r="B3" s="54" t="s">
        <v>123</v>
      </c>
      <c r="C3" s="66" t="n">
        <f aca="false">'5Plan Consumo Especifico -INPUT'!B3</f>
        <v>3.27822183223059</v>
      </c>
      <c r="D3" s="66" t="n">
        <f aca="false">'5Plan Consumo Especifico -INPUT'!C3</f>
        <v>3.35949285542862</v>
      </c>
      <c r="E3" s="66" t="n">
        <f aca="false">'5Plan Consumo Especifico -INPUT'!D3</f>
        <v>3.28738273377368</v>
      </c>
      <c r="F3" s="66" t="n">
        <f aca="false">'5Plan Consumo Especifico -INPUT'!E3</f>
        <v>3.01104385861773</v>
      </c>
      <c r="G3" s="66" t="n">
        <f aca="false">'5Plan Consumo Especifico -INPUT'!F3</f>
        <v>2.92484896837796</v>
      </c>
      <c r="H3" s="66" t="n">
        <f aca="false">'5Plan Consumo Especifico -INPUT'!G3</f>
        <v>2.90660969526739</v>
      </c>
      <c r="I3" s="66" t="n">
        <f aca="false">'5Plan Consumo Especifico -INPUT'!H3</f>
        <v>2.82213291174198</v>
      </c>
      <c r="J3" s="66" t="n">
        <f aca="false">'5Plan Consumo Especifico -INPUT'!I3</f>
        <v>2.9663232335391</v>
      </c>
      <c r="K3" s="66" t="n">
        <f aca="false">'5Plan Consumo Especifico -INPUT'!J3</f>
        <v>2.91471974246362</v>
      </c>
      <c r="L3" s="66" t="n">
        <f aca="false">'5Plan Consumo Especifico -INPUT'!K3</f>
        <v>2.93751039450292</v>
      </c>
      <c r="M3" s="66" t="n">
        <f aca="false">'5Plan Consumo Especifico -INPUT'!L3</f>
        <v>3.28010657747266</v>
      </c>
      <c r="N3" s="66" t="n">
        <f aca="false">'5Plan Consumo Especifico -INPUT'!M3</f>
        <v>3.14869691457168</v>
      </c>
    </row>
    <row r="4" customFormat="false" ht="15.75" hidden="false" customHeight="false" outlineLevel="0" collapsed="false">
      <c r="A4" s="54" t="s">
        <v>133</v>
      </c>
      <c r="B4" s="54" t="s">
        <v>134</v>
      </c>
      <c r="C4" s="66" t="n">
        <f aca="false">'5Plan Consumo Especifico -INPUT'!B4</f>
        <v>1.48408897482972</v>
      </c>
      <c r="D4" s="66" t="n">
        <f aca="false">'5Plan Consumo Especifico -INPUT'!C4</f>
        <v>1.37425160040094</v>
      </c>
      <c r="E4" s="66" t="n">
        <f aca="false">'5Plan Consumo Especifico -INPUT'!D4</f>
        <v>1.48881161277667</v>
      </c>
      <c r="F4" s="66" t="n">
        <f aca="false">'5Plan Consumo Especifico -INPUT'!E4</f>
        <v>1.3200198889732</v>
      </c>
      <c r="G4" s="66" t="n">
        <f aca="false">'5Plan Consumo Especifico -INPUT'!F4</f>
        <v>1.32444175319198</v>
      </c>
      <c r="H4" s="66" t="n">
        <f aca="false">'5Plan Consumo Especifico -INPUT'!G4</f>
        <v>1.27360568753251</v>
      </c>
      <c r="I4" s="66" t="n">
        <f aca="false">'5Plan Consumo Especifico -INPUT'!H4</f>
        <v>1.27830341342915</v>
      </c>
      <c r="J4" s="66" t="n">
        <f aca="false">'5Plan Consumo Especifico -INPUT'!I4</f>
        <v>1.3434574280404</v>
      </c>
      <c r="K4" s="66" t="n">
        <f aca="false">'5Plan Consumo Especifico -INPUT'!J4</f>
        <v>1.2771983693027</v>
      </c>
      <c r="L4" s="66" t="n">
        <f aca="false">'5Plan Consumo Especifico -INPUT'!K4</f>
        <v>1.33008969243801</v>
      </c>
      <c r="M4" s="66" t="n">
        <f aca="false">'5Plan Consumo Especifico -INPUT'!L4</f>
        <v>1.43735499021526</v>
      </c>
      <c r="N4" s="66" t="n">
        <f aca="false">'5Plan Consumo Especifico -INPUT'!M4</f>
        <v>1.42639954059472</v>
      </c>
    </row>
    <row r="5" customFormat="false" ht="15.75" hidden="false" customHeight="false" outlineLevel="0" collapsed="false">
      <c r="A5" s="54" t="n">
        <v>11130180</v>
      </c>
      <c r="B5" s="54" t="s">
        <v>125</v>
      </c>
      <c r="C5" s="66" t="n">
        <f aca="false">'5Plan Consumo Especifico -INPUT'!B5</f>
        <v>0</v>
      </c>
      <c r="D5" s="66" t="n">
        <f aca="false">'5Plan Consumo Especifico -INPUT'!C5</f>
        <v>0</v>
      </c>
      <c r="E5" s="66" t="n">
        <f aca="false">'5Plan Consumo Especifico -INPUT'!D5</f>
        <v>0</v>
      </c>
      <c r="F5" s="66" t="n">
        <f aca="false">'5Plan Consumo Especifico -INPUT'!E5</f>
        <v>0</v>
      </c>
      <c r="G5" s="66" t="n">
        <f aca="false">'5Plan Consumo Especifico -INPUT'!F5</f>
        <v>0</v>
      </c>
      <c r="H5" s="66" t="n">
        <f aca="false">'5Plan Consumo Especifico -INPUT'!G5</f>
        <v>0</v>
      </c>
      <c r="I5" s="66" t="n">
        <f aca="false">'5Plan Consumo Especifico -INPUT'!H5</f>
        <v>0</v>
      </c>
      <c r="J5" s="66" t="n">
        <f aca="false">'5Plan Consumo Especifico -INPUT'!I5</f>
        <v>0</v>
      </c>
      <c r="K5" s="66" t="n">
        <f aca="false">'5Plan Consumo Especifico -INPUT'!J5</f>
        <v>0</v>
      </c>
      <c r="L5" s="66" t="n">
        <f aca="false">'5Plan Consumo Especifico -INPUT'!K5</f>
        <v>0</v>
      </c>
      <c r="M5" s="66" t="n">
        <f aca="false">'5Plan Consumo Especifico -INPUT'!L5</f>
        <v>0</v>
      </c>
      <c r="N5" s="66" t="n">
        <f aca="false">'5Plan Consumo Especifico -INPUT'!M5</f>
        <v>0</v>
      </c>
    </row>
    <row r="6" customFormat="false" ht="15.75" hidden="false" customHeight="false" outlineLevel="0" collapsed="false">
      <c r="A6" s="54" t="n">
        <v>11131180</v>
      </c>
      <c r="B6" s="54" t="s">
        <v>126</v>
      </c>
      <c r="C6" s="66" t="n">
        <f aca="false">'5Plan Consumo Especifico -INPUT'!B6</f>
        <v>42.3959899378023</v>
      </c>
      <c r="D6" s="66" t="n">
        <f aca="false">'5Plan Consumo Especifico -INPUT'!C6</f>
        <v>46.5313713464997</v>
      </c>
      <c r="E6" s="66" t="n">
        <f aca="false">'5Plan Consumo Especifico -INPUT'!D6</f>
        <v>44.0998643381824</v>
      </c>
      <c r="F6" s="66" t="n">
        <f aca="false">'5Plan Consumo Especifico -INPUT'!E6</f>
        <v>44.9572261743456</v>
      </c>
      <c r="G6" s="66" t="n">
        <f aca="false">'5Plan Consumo Especifico -INPUT'!F6</f>
        <v>43.5094129383661</v>
      </c>
      <c r="H6" s="66" t="n">
        <f aca="false">'5Plan Consumo Especifico -INPUT'!G6</f>
        <v>41.0419075474832</v>
      </c>
      <c r="I6" s="66" t="n">
        <f aca="false">'5Plan Consumo Especifico -INPUT'!H6</f>
        <v>39.6145052608621</v>
      </c>
      <c r="J6" s="66" t="n">
        <f aca="false">'5Plan Consumo Especifico -INPUT'!I6</f>
        <v>39.6260766352249</v>
      </c>
      <c r="K6" s="66" t="n">
        <f aca="false">'5Plan Consumo Especifico -INPUT'!J6</f>
        <v>40.7274408641437</v>
      </c>
      <c r="L6" s="66" t="n">
        <f aca="false">'5Plan Consumo Especifico -INPUT'!K6</f>
        <v>41.5503799120608</v>
      </c>
      <c r="M6" s="66" t="n">
        <f aca="false">'5Plan Consumo Especifico -INPUT'!L6</f>
        <v>48.3770940901294</v>
      </c>
      <c r="N6" s="66" t="n">
        <f aca="false">'5Plan Consumo Especifico -INPUT'!M6</f>
        <v>43.4219374944335</v>
      </c>
    </row>
    <row r="7" customFormat="false" ht="15.75" hidden="false" customHeight="false" outlineLevel="0" collapsed="false">
      <c r="A7" s="54" t="n">
        <v>11132180</v>
      </c>
      <c r="B7" s="54" t="s">
        <v>127</v>
      </c>
      <c r="C7" s="66" t="n">
        <f aca="false">'5Plan Consumo Especifico -INPUT'!B7</f>
        <v>42.2149936188775</v>
      </c>
      <c r="D7" s="66" t="n">
        <f aca="false">'5Plan Consumo Especifico -INPUT'!C7</f>
        <v>40.8065269436079</v>
      </c>
      <c r="E7" s="66" t="n">
        <f aca="false">'5Plan Consumo Especifico -INPUT'!D7</f>
        <v>40.9952995164277</v>
      </c>
      <c r="F7" s="66" t="n">
        <f aca="false">'5Plan Consumo Especifico -INPUT'!E7</f>
        <v>34.5747398967527</v>
      </c>
      <c r="G7" s="66" t="n">
        <f aca="false">'5Plan Consumo Especifico -INPUT'!F7</f>
        <v>33.6722630200504</v>
      </c>
      <c r="H7" s="66" t="n">
        <f aca="false">'5Plan Consumo Especifico -INPUT'!G7</f>
        <v>34.7749848547553</v>
      </c>
      <c r="I7" s="66" t="n">
        <f aca="false">'5Plan Consumo Especifico -INPUT'!H7</f>
        <v>33.9194204911404</v>
      </c>
      <c r="J7" s="66" t="n">
        <f aca="false">'5Plan Consumo Especifico -INPUT'!I7</f>
        <v>37.1239508634183</v>
      </c>
      <c r="K7" s="66" t="n">
        <f aca="false">'5Plan Consumo Especifico -INPUT'!J7</f>
        <v>35.1580268393384</v>
      </c>
      <c r="L7" s="66" t="n">
        <f aca="false">'5Plan Consumo Especifico -INPUT'!K7</f>
        <v>35.0976148163816</v>
      </c>
      <c r="M7" s="66" t="n">
        <f aca="false">'5Plan Consumo Especifico -INPUT'!L7</f>
        <v>37.9932141498986</v>
      </c>
      <c r="N7" s="66" t="n">
        <f aca="false">'5Plan Consumo Especifico -INPUT'!M7</f>
        <v>38.3801430258326</v>
      </c>
    </row>
    <row r="8" customFormat="false" ht="15.75" hidden="false" customHeight="false" outlineLevel="0" collapsed="false">
      <c r="A8" s="54" t="s">
        <v>135</v>
      </c>
      <c r="B8" s="54" t="s">
        <v>105</v>
      </c>
      <c r="C8" s="66" t="n">
        <f aca="false">'5Plan Consumo Especifico -INPUT'!B9</f>
        <v>0</v>
      </c>
      <c r="D8" s="66" t="n">
        <f aca="false">'5Plan Consumo Especifico -INPUT'!C9</f>
        <v>0</v>
      </c>
      <c r="E8" s="66" t="n">
        <f aca="false">'5Plan Consumo Especifico -INPUT'!D9</f>
        <v>0</v>
      </c>
      <c r="F8" s="66" t="n">
        <f aca="false">'5Plan Consumo Especifico -INPUT'!E9</f>
        <v>0</v>
      </c>
      <c r="G8" s="66" t="n">
        <f aca="false">'5Plan Consumo Especifico -INPUT'!F9</f>
        <v>0</v>
      </c>
      <c r="H8" s="66" t="n">
        <f aca="false">'5Plan Consumo Especifico -INPUT'!G9</f>
        <v>0</v>
      </c>
      <c r="I8" s="66" t="n">
        <f aca="false">'5Plan Consumo Especifico -INPUT'!H9</f>
        <v>0</v>
      </c>
      <c r="J8" s="66" t="n">
        <f aca="false">'5Plan Consumo Especifico -INPUT'!I9</f>
        <v>0</v>
      </c>
      <c r="K8" s="66" t="n">
        <f aca="false">'5Plan Consumo Especifico -INPUT'!J9</f>
        <v>0</v>
      </c>
      <c r="L8" s="66" t="n">
        <f aca="false">'5Plan Consumo Especifico -INPUT'!K9</f>
        <v>0</v>
      </c>
      <c r="M8" s="66" t="n">
        <f aca="false">'5Plan Consumo Especifico -INPUT'!L9</f>
        <v>0</v>
      </c>
      <c r="N8" s="66" t="n">
        <f aca="false">'5Plan Consumo Especifico -INPUT'!M9</f>
        <v>0</v>
      </c>
    </row>
    <row r="9" customFormat="false" ht="15.75" hidden="false" customHeight="false" outlineLevel="0" collapsed="false">
      <c r="A9" s="54" t="n">
        <v>11162090</v>
      </c>
      <c r="B9" s="54" t="s">
        <v>106</v>
      </c>
      <c r="C9" s="66" t="n">
        <f aca="false">'5Plan Consumo Especifico -INPUT'!B10</f>
        <v>0</v>
      </c>
      <c r="D9" s="66" t="n">
        <f aca="false">'5Plan Consumo Especifico -INPUT'!C10</f>
        <v>0</v>
      </c>
      <c r="E9" s="66" t="n">
        <f aca="false">'5Plan Consumo Especifico -INPUT'!D10</f>
        <v>0</v>
      </c>
      <c r="F9" s="66" t="n">
        <f aca="false">'5Plan Consumo Especifico -INPUT'!E10</f>
        <v>0</v>
      </c>
      <c r="G9" s="66" t="n">
        <f aca="false">'5Plan Consumo Especifico -INPUT'!F10</f>
        <v>0</v>
      </c>
      <c r="H9" s="66" t="n">
        <f aca="false">'5Plan Consumo Especifico -INPUT'!G10</f>
        <v>0</v>
      </c>
      <c r="I9" s="66" t="n">
        <f aca="false">'5Plan Consumo Especifico -INPUT'!H10</f>
        <v>0</v>
      </c>
      <c r="J9" s="66" t="n">
        <f aca="false">'5Plan Consumo Especifico -INPUT'!I10</f>
        <v>0</v>
      </c>
      <c r="K9" s="66" t="n">
        <f aca="false">'5Plan Consumo Especifico -INPUT'!J10</f>
        <v>0</v>
      </c>
      <c r="L9" s="66" t="n">
        <f aca="false">'5Plan Consumo Especifico -INPUT'!K10</f>
        <v>0</v>
      </c>
      <c r="M9" s="66" t="n">
        <f aca="false">'5Plan Consumo Especifico -INPUT'!L10</f>
        <v>0</v>
      </c>
      <c r="N9" s="66" t="n">
        <f aca="false">'5Plan Consumo Especifico -INPUT'!M10</f>
        <v>0</v>
      </c>
    </row>
    <row r="10" customFormat="false" ht="15.75" hidden="false" customHeight="false" outlineLevel="0" collapsed="false">
      <c r="A10" s="54" t="n">
        <v>11162120</v>
      </c>
      <c r="B10" s="54" t="s">
        <v>107</v>
      </c>
      <c r="C10" s="66" t="n">
        <f aca="false">'5Plan Consumo Especifico -INPUT'!B11</f>
        <v>7.10506424792139</v>
      </c>
      <c r="D10" s="66" t="n">
        <f aca="false">'5Plan Consumo Especifico -INPUT'!C11</f>
        <v>7.19230769230769</v>
      </c>
      <c r="E10" s="66" t="n">
        <f aca="false">'5Plan Consumo Especifico -INPUT'!D11</f>
        <v>7.55857898715042</v>
      </c>
      <c r="F10" s="66" t="n">
        <f aca="false">'5Plan Consumo Especifico -INPUT'!E11</f>
        <v>7.10506424792139</v>
      </c>
      <c r="G10" s="66" t="n">
        <f aca="false">'5Plan Consumo Especifico -INPUT'!F11</f>
        <v>7.05794947994056</v>
      </c>
      <c r="H10" s="66" t="n">
        <f aca="false">'5Plan Consumo Especifico -INPUT'!G11</f>
        <v>7.1972581873572</v>
      </c>
      <c r="I10" s="66" t="n">
        <f aca="false">'5Plan Consumo Especifico -INPUT'!H11</f>
        <v>7.12678169542386</v>
      </c>
      <c r="J10" s="66" t="n">
        <f aca="false">'5Plan Consumo Especifico -INPUT'!I11</f>
        <v>7.1806500377929</v>
      </c>
      <c r="K10" s="66" t="n">
        <f aca="false">'5Plan Consumo Especifico -INPUT'!J11</f>
        <v>7.10506424792139</v>
      </c>
      <c r="L10" s="66" t="n">
        <f aca="false">'5Plan Consumo Especifico -INPUT'!K11</f>
        <v>7.1806500377929</v>
      </c>
      <c r="M10" s="66" t="n">
        <f aca="false">'5Plan Consumo Especifico -INPUT'!L11</f>
        <v>7.14285714285714</v>
      </c>
      <c r="N10" s="66" t="n">
        <f aca="false">'5Plan Consumo Especifico -INPUT'!M11</f>
        <v>7.1806500377929</v>
      </c>
    </row>
    <row r="11" customFormat="false" ht="15.75" hidden="false" customHeight="false" outlineLevel="0" collapsed="false">
      <c r="A11" s="54" t="s">
        <v>136</v>
      </c>
      <c r="B11" s="54" t="s">
        <v>108</v>
      </c>
      <c r="C11" s="66" t="n">
        <f aca="false">'5Plan Consumo Especifico -INPUT'!B12</f>
        <v>0</v>
      </c>
      <c r="D11" s="66" t="n">
        <f aca="false">'5Plan Consumo Especifico -INPUT'!C12</f>
        <v>0</v>
      </c>
      <c r="E11" s="66" t="n">
        <f aca="false">'5Plan Consumo Especifico -INPUT'!D12</f>
        <v>0</v>
      </c>
      <c r="F11" s="66" t="n">
        <f aca="false">'5Plan Consumo Especifico -INPUT'!E12</f>
        <v>0</v>
      </c>
      <c r="G11" s="66" t="n">
        <f aca="false">'5Plan Consumo Especifico -INPUT'!F12</f>
        <v>0</v>
      </c>
      <c r="H11" s="66" t="n">
        <f aca="false">'5Plan Consumo Especifico -INPUT'!G12</f>
        <v>0</v>
      </c>
      <c r="I11" s="66" t="n">
        <f aca="false">'5Plan Consumo Especifico -INPUT'!H12</f>
        <v>0</v>
      </c>
      <c r="J11" s="66" t="n">
        <f aca="false">'5Plan Consumo Especifico -INPUT'!I12</f>
        <v>0</v>
      </c>
      <c r="K11" s="66" t="n">
        <f aca="false">'5Plan Consumo Especifico -INPUT'!J12</f>
        <v>0</v>
      </c>
      <c r="L11" s="66" t="n">
        <f aca="false">'5Plan Consumo Especifico -INPUT'!K12</f>
        <v>0</v>
      </c>
      <c r="M11" s="66" t="n">
        <f aca="false">'5Plan Consumo Especifico -INPUT'!L12</f>
        <v>0</v>
      </c>
      <c r="N11" s="66" t="n">
        <f aca="false">'5Plan Consumo Especifico -INPUT'!M12</f>
        <v>0</v>
      </c>
    </row>
    <row r="12" customFormat="false" ht="15.75" hidden="false" customHeight="false" outlineLevel="0" collapsed="false">
      <c r="A12" s="54" t="n">
        <v>12111080</v>
      </c>
      <c r="B12" s="54" t="s">
        <v>109</v>
      </c>
      <c r="C12" s="66" t="n">
        <f aca="false">'5Plan Consumo Especifico -INPUT'!B13</f>
        <v>10.77</v>
      </c>
      <c r="D12" s="66" t="n">
        <f aca="false">'5Plan Consumo Especifico -INPUT'!C13</f>
        <v>10.77</v>
      </c>
      <c r="E12" s="66" t="n">
        <f aca="false">'5Plan Consumo Especifico -INPUT'!D13</f>
        <v>10.77</v>
      </c>
      <c r="F12" s="66" t="n">
        <f aca="false">'5Plan Consumo Especifico -INPUT'!E13</f>
        <v>10.77</v>
      </c>
      <c r="G12" s="66" t="n">
        <f aca="false">'5Plan Consumo Especifico -INPUT'!F13</f>
        <v>10.77</v>
      </c>
      <c r="H12" s="66" t="n">
        <f aca="false">'5Plan Consumo Especifico -INPUT'!G13</f>
        <v>10.77</v>
      </c>
      <c r="I12" s="66" t="n">
        <f aca="false">'5Plan Consumo Especifico -INPUT'!H13</f>
        <v>10.77</v>
      </c>
      <c r="J12" s="66" t="n">
        <f aca="false">'5Plan Consumo Especifico -INPUT'!I13</f>
        <v>10.77</v>
      </c>
      <c r="K12" s="66" t="n">
        <f aca="false">'5Plan Consumo Especifico -INPUT'!J13</f>
        <v>10.77</v>
      </c>
      <c r="L12" s="66" t="n">
        <f aca="false">'5Plan Consumo Especifico -INPUT'!K13</f>
        <v>10.77</v>
      </c>
      <c r="M12" s="66" t="n">
        <f aca="false">'5Plan Consumo Especifico -INPUT'!L13</f>
        <v>10.77</v>
      </c>
      <c r="N12" s="66" t="n">
        <f aca="false">'5Plan Consumo Especifico -INPUT'!M13</f>
        <v>10.77</v>
      </c>
    </row>
    <row r="13" customFormat="false" ht="15.75" hidden="false" customHeight="false" outlineLevel="0" collapsed="false">
      <c r="A13" s="54" t="n">
        <v>12133040</v>
      </c>
      <c r="B13" s="54" t="s">
        <v>110</v>
      </c>
      <c r="C13" s="66" t="n">
        <f aca="false">'5Plan Consumo Especifico -INPUT'!B14</f>
        <v>0</v>
      </c>
      <c r="D13" s="66" t="n">
        <f aca="false">'5Plan Consumo Especifico -INPUT'!C14</f>
        <v>0</v>
      </c>
      <c r="E13" s="66" t="n">
        <f aca="false">'5Plan Consumo Especifico -INPUT'!D14</f>
        <v>0</v>
      </c>
      <c r="F13" s="66" t="n">
        <f aca="false">'5Plan Consumo Especifico -INPUT'!E14</f>
        <v>0</v>
      </c>
      <c r="G13" s="66" t="n">
        <f aca="false">'5Plan Consumo Especifico -INPUT'!F14</f>
        <v>0</v>
      </c>
      <c r="H13" s="66" t="n">
        <f aca="false">'5Plan Consumo Especifico -INPUT'!G14</f>
        <v>0</v>
      </c>
      <c r="I13" s="66" t="n">
        <f aca="false">'5Plan Consumo Especifico -INPUT'!H14</f>
        <v>0</v>
      </c>
      <c r="J13" s="66" t="n">
        <f aca="false">'5Plan Consumo Especifico -INPUT'!I14</f>
        <v>0</v>
      </c>
      <c r="K13" s="66" t="n">
        <f aca="false">'5Plan Consumo Especifico -INPUT'!J14</f>
        <v>0</v>
      </c>
      <c r="L13" s="66" t="n">
        <f aca="false">'5Plan Consumo Especifico -INPUT'!K14</f>
        <v>0</v>
      </c>
      <c r="M13" s="66" t="n">
        <f aca="false">'5Plan Consumo Especifico -INPUT'!L14</f>
        <v>0</v>
      </c>
      <c r="N13" s="66" t="n">
        <f aca="false">'5Plan Consumo Especifico -INPUT'!M14</f>
        <v>0</v>
      </c>
    </row>
    <row r="14" customFormat="false" ht="15.75" hidden="false" customHeight="false" outlineLevel="0" collapsed="false">
      <c r="A14" s="54" t="n">
        <v>12135040</v>
      </c>
      <c r="B14" s="54" t="s">
        <v>111</v>
      </c>
      <c r="C14" s="66" t="n">
        <f aca="false">'5Plan Consumo Especifico -INPUT'!B15</f>
        <v>0</v>
      </c>
      <c r="D14" s="66" t="n">
        <f aca="false">'5Plan Consumo Especifico -INPUT'!C15</f>
        <v>0</v>
      </c>
      <c r="E14" s="66" t="n">
        <f aca="false">'5Plan Consumo Especifico -INPUT'!D15</f>
        <v>0</v>
      </c>
      <c r="F14" s="66" t="n">
        <f aca="false">'5Plan Consumo Especifico -INPUT'!E15</f>
        <v>0</v>
      </c>
      <c r="G14" s="66" t="n">
        <f aca="false">'5Plan Consumo Especifico -INPUT'!F15</f>
        <v>0</v>
      </c>
      <c r="H14" s="66" t="n">
        <f aca="false">'5Plan Consumo Especifico -INPUT'!G15</f>
        <v>0</v>
      </c>
      <c r="I14" s="66" t="n">
        <f aca="false">'5Plan Consumo Especifico -INPUT'!H15</f>
        <v>0</v>
      </c>
      <c r="J14" s="66" t="n">
        <f aca="false">'5Plan Consumo Especifico -INPUT'!I15</f>
        <v>0</v>
      </c>
      <c r="K14" s="66" t="n">
        <f aca="false">'5Plan Consumo Especifico -INPUT'!J15</f>
        <v>0</v>
      </c>
      <c r="L14" s="66" t="n">
        <f aca="false">'5Plan Consumo Especifico -INPUT'!K15</f>
        <v>0</v>
      </c>
      <c r="M14" s="66" t="n">
        <f aca="false">'5Plan Consumo Especifico -INPUT'!L15</f>
        <v>0</v>
      </c>
      <c r="N14" s="66" t="n">
        <f aca="false">'5Plan Consumo Especifico -INPUT'!M15</f>
        <v>0</v>
      </c>
    </row>
    <row r="15" customFormat="false" ht="15.75" hidden="false" customHeight="false" outlineLevel="0" collapsed="false">
      <c r="A15" s="54" t="n">
        <v>12136040</v>
      </c>
      <c r="B15" s="54" t="s">
        <v>112</v>
      </c>
      <c r="C15" s="66" t="n">
        <f aca="false">'5Plan Consumo Especifico -INPUT'!B16</f>
        <v>29.95</v>
      </c>
      <c r="D15" s="66" t="n">
        <f aca="false">'5Plan Consumo Especifico -INPUT'!C16</f>
        <v>29.95</v>
      </c>
      <c r="E15" s="66" t="n">
        <f aca="false">'5Plan Consumo Especifico -INPUT'!D16</f>
        <v>29.95</v>
      </c>
      <c r="F15" s="66" t="n">
        <f aca="false">'5Plan Consumo Especifico -INPUT'!E16</f>
        <v>29.95</v>
      </c>
      <c r="G15" s="66" t="n">
        <f aca="false">'5Plan Consumo Especifico -INPUT'!F16</f>
        <v>29.95</v>
      </c>
      <c r="H15" s="66" t="n">
        <f aca="false">'5Plan Consumo Especifico -INPUT'!G16</f>
        <v>29.95</v>
      </c>
      <c r="I15" s="66" t="n">
        <f aca="false">'5Plan Consumo Especifico -INPUT'!H16</f>
        <v>29.95</v>
      </c>
      <c r="J15" s="66" t="n">
        <f aca="false">'5Plan Consumo Especifico -INPUT'!I16</f>
        <v>29.95</v>
      </c>
      <c r="K15" s="66" t="n">
        <f aca="false">'5Plan Consumo Especifico -INPUT'!J16</f>
        <v>29.95</v>
      </c>
      <c r="L15" s="66" t="n">
        <f aca="false">'5Plan Consumo Especifico -INPUT'!K16</f>
        <v>29.95</v>
      </c>
      <c r="M15" s="66" t="n">
        <f aca="false">'5Plan Consumo Especifico -INPUT'!L16</f>
        <v>29.95</v>
      </c>
      <c r="N15" s="66" t="n">
        <f aca="false">'5Plan Consumo Especifico -INPUT'!M16</f>
        <v>29.95</v>
      </c>
    </row>
    <row r="16" customFormat="false" ht="15.75" hidden="false" customHeight="false" outlineLevel="0" collapsed="false">
      <c r="A16" s="54" t="n">
        <v>12138040</v>
      </c>
      <c r="B16" s="54" t="s">
        <v>113</v>
      </c>
      <c r="C16" s="66" t="n">
        <f aca="false">'5Plan Consumo Especifico -INPUT'!B17</f>
        <v>32.17</v>
      </c>
      <c r="D16" s="66" t="n">
        <f aca="false">'5Plan Consumo Especifico -INPUT'!C17</f>
        <v>32.17</v>
      </c>
      <c r="E16" s="66" t="n">
        <f aca="false">'5Plan Consumo Especifico -INPUT'!D17</f>
        <v>32.17</v>
      </c>
      <c r="F16" s="66" t="n">
        <f aca="false">'5Plan Consumo Especifico -INPUT'!E17</f>
        <v>32.17</v>
      </c>
      <c r="G16" s="66" t="n">
        <f aca="false">'5Plan Consumo Especifico -INPUT'!F17</f>
        <v>32.17</v>
      </c>
      <c r="H16" s="66" t="n">
        <f aca="false">'5Plan Consumo Especifico -INPUT'!G17</f>
        <v>32.17</v>
      </c>
      <c r="I16" s="66" t="n">
        <f aca="false">'5Plan Consumo Especifico -INPUT'!H17</f>
        <v>32.17</v>
      </c>
      <c r="J16" s="66" t="n">
        <f aca="false">'5Plan Consumo Especifico -INPUT'!I17</f>
        <v>32.17</v>
      </c>
      <c r="K16" s="66" t="n">
        <f aca="false">'5Plan Consumo Especifico -INPUT'!J17</f>
        <v>32.17</v>
      </c>
      <c r="L16" s="66" t="n">
        <f aca="false">'5Plan Consumo Especifico -INPUT'!K17</f>
        <v>32.17</v>
      </c>
      <c r="M16" s="66" t="n">
        <f aca="false">'5Plan Consumo Especifico -INPUT'!L17</f>
        <v>32.17</v>
      </c>
      <c r="N16" s="66" t="n">
        <f aca="false">'5Plan Consumo Especifico -INPUT'!M17</f>
        <v>32.17</v>
      </c>
    </row>
    <row r="17" customFormat="false" ht="15.75" hidden="false" customHeight="false" outlineLevel="0" collapsed="false">
      <c r="A17" s="54" t="s">
        <v>137</v>
      </c>
      <c r="B17" s="54" t="s">
        <v>129</v>
      </c>
      <c r="C17" s="66" t="n">
        <f aca="false">'5Plan Consumo Especifico -INPUT'!B18</f>
        <v>0.868816956875822</v>
      </c>
      <c r="D17" s="66" t="n">
        <f aca="false">'5Plan Consumo Especifico -INPUT'!C18</f>
        <v>0.868816956875822</v>
      </c>
      <c r="E17" s="66" t="n">
        <f aca="false">'5Plan Consumo Especifico -INPUT'!D18</f>
        <v>0.868816956875822</v>
      </c>
      <c r="F17" s="66" t="n">
        <f aca="false">'5Plan Consumo Especifico -INPUT'!E18</f>
        <v>0.868816956875822</v>
      </c>
      <c r="G17" s="66" t="n">
        <f aca="false">'5Plan Consumo Especifico -INPUT'!F18</f>
        <v>0.868816956875822</v>
      </c>
      <c r="H17" s="66" t="n">
        <f aca="false">'5Plan Consumo Especifico -INPUT'!G18</f>
        <v>0.868816956875822</v>
      </c>
      <c r="I17" s="66" t="n">
        <f aca="false">'5Plan Consumo Especifico -INPUT'!H18</f>
        <v>0.868816956875822</v>
      </c>
      <c r="J17" s="66" t="n">
        <f aca="false">'5Plan Consumo Especifico -INPUT'!I18</f>
        <v>0.868816956875822</v>
      </c>
      <c r="K17" s="66" t="n">
        <f aca="false">'5Plan Consumo Especifico -INPUT'!J18</f>
        <v>0.868816956875822</v>
      </c>
      <c r="L17" s="66" t="n">
        <f aca="false">'5Plan Consumo Especifico -INPUT'!K18</f>
        <v>0.868816956875822</v>
      </c>
      <c r="M17" s="66" t="n">
        <f aca="false">'5Plan Consumo Especifico -INPUT'!L18</f>
        <v>0.868816956875822</v>
      </c>
      <c r="N17" s="66" t="n">
        <f aca="false">'5Plan Consumo Especifico -INPUT'!M18</f>
        <v>0.868816956875822</v>
      </c>
    </row>
  </sheetData>
  <mergeCells count="1">
    <mergeCell ref="C1:N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52"/>
  <sheetViews>
    <sheetView showFormulas="false" showGridLines="true" showRowColHeaders="true" showZeros="true" rightToLeft="false" tabSelected="false" showOutlineSymbols="true" defaultGridColor="true" view="normal" topLeftCell="A1" colorId="64" zoomScale="60" zoomScaleNormal="60" zoomScalePageLayoutView="100" workbookViewId="0">
      <selection pane="topLeft" activeCell="E7" activeCellId="0" sqref="E7"/>
    </sheetView>
  </sheetViews>
  <sheetFormatPr defaultColWidth="11" defaultRowHeight="15.75" zeroHeight="false" outlineLevelRow="0" outlineLevelCol="0"/>
  <cols>
    <col collapsed="false" customWidth="true" hidden="false" outlineLevel="0" max="1" min="1" style="0" width="17.63"/>
    <col collapsed="false" customWidth="true" hidden="false" outlineLevel="0" max="2" min="2" style="0" width="17"/>
    <col collapsed="false" customWidth="true" hidden="false" outlineLevel="0" max="14" min="3" style="0" width="12.63"/>
    <col collapsed="false" customWidth="true" hidden="false" outlineLevel="0" max="15" min="15" style="0" width="16.75"/>
  </cols>
  <sheetData>
    <row r="1" customFormat="false" ht="15.75" hidden="false" customHeight="false" outlineLevel="0" collapsed="false">
      <c r="C1" s="55" t="s">
        <v>131</v>
      </c>
      <c r="D1" s="55"/>
      <c r="E1" s="55"/>
      <c r="F1" s="55"/>
      <c r="G1" s="55"/>
      <c r="H1" s="55"/>
      <c r="I1" s="55"/>
      <c r="J1" s="55"/>
      <c r="K1" s="55"/>
      <c r="L1" s="55"/>
      <c r="M1" s="55"/>
      <c r="N1" s="55"/>
      <c r="O1" s="55"/>
    </row>
    <row r="2" customFormat="false" ht="15.75" hidden="false" customHeight="false" outlineLevel="0" collapsed="false">
      <c r="A2" s="54" t="s">
        <v>62</v>
      </c>
      <c r="B2" s="54" t="s">
        <v>119</v>
      </c>
      <c r="C2" s="55" t="s">
        <v>76</v>
      </c>
      <c r="D2" s="55" t="s">
        <v>77</v>
      </c>
      <c r="E2" s="55" t="s">
        <v>78</v>
      </c>
      <c r="F2" s="55" t="s">
        <v>79</v>
      </c>
      <c r="G2" s="55" t="s">
        <v>80</v>
      </c>
      <c r="H2" s="55" t="s">
        <v>81</v>
      </c>
      <c r="I2" s="55" t="s">
        <v>82</v>
      </c>
      <c r="J2" s="55" t="s">
        <v>83</v>
      </c>
      <c r="K2" s="55" t="s">
        <v>84</v>
      </c>
      <c r="L2" s="55" t="s">
        <v>85</v>
      </c>
      <c r="M2" s="55" t="s">
        <v>86</v>
      </c>
      <c r="N2" s="55" t="s">
        <v>87</v>
      </c>
      <c r="O2" s="55" t="s">
        <v>138</v>
      </c>
    </row>
    <row r="3" customFormat="false" ht="15.75" hidden="false" customHeight="false" outlineLevel="0" collapsed="false">
      <c r="A3" s="54" t="s">
        <v>132</v>
      </c>
      <c r="B3" s="54" t="s">
        <v>123</v>
      </c>
      <c r="C3" s="67" t="n">
        <f aca="false">'6Consumo Especifico - OCULTA'!C3*'4Produção - OCULTA'!B3</f>
        <v>3471861.41202113</v>
      </c>
      <c r="D3" s="67" t="n">
        <f aca="false">'6Consumo Especifico - OCULTA'!D3*'4Produção - OCULTA'!C3</f>
        <v>3430149.86312691</v>
      </c>
      <c r="E3" s="67" t="n">
        <f aca="false">'6Consumo Especifico - OCULTA'!E3*'4Produção - OCULTA'!D3</f>
        <v>3302027.04161642</v>
      </c>
      <c r="F3" s="67" t="n">
        <f aca="false">'6Consumo Especifico - OCULTA'!F3*'4Produção - OCULTA'!E3</f>
        <v>3371827.08158953</v>
      </c>
      <c r="G3" s="67" t="n">
        <f aca="false">'6Consumo Especifico - OCULTA'!G3*'4Produção - OCULTA'!F3</f>
        <v>3326581.90225222</v>
      </c>
      <c r="H3" s="67" t="n">
        <f aca="false">'6Consumo Especifico - OCULTA'!H3*'4Produção - OCULTA'!G3</f>
        <v>3337450.42986324</v>
      </c>
      <c r="I3" s="67" t="n">
        <f aca="false">'6Consumo Especifico - OCULTA'!I3*'4Produção - OCULTA'!H3</f>
        <v>3354307.53294583</v>
      </c>
      <c r="J3" s="67" t="n">
        <f aca="false">'6Consumo Especifico - OCULTA'!J3*'4Produção - OCULTA'!I3</f>
        <v>3377192.54108276</v>
      </c>
      <c r="K3" s="67" t="n">
        <f aca="false">'6Consumo Especifico - OCULTA'!K3*'4Produção - OCULTA'!J3</f>
        <v>3351295.14551182</v>
      </c>
      <c r="L3" s="67" t="n">
        <f aca="false">'6Consumo Especifico - OCULTA'!L3*'4Produção - OCULTA'!K3</f>
        <v>3406142.95653957</v>
      </c>
      <c r="M3" s="67" t="n">
        <f aca="false">'6Consumo Especifico - OCULTA'!M3*'4Produção - OCULTA'!L3</f>
        <v>3448911.98455095</v>
      </c>
      <c r="N3" s="67" t="n">
        <f aca="false">'6Consumo Especifico - OCULTA'!N3*'4Produção - OCULTA'!M3</f>
        <v>3528060.54252029</v>
      </c>
      <c r="O3" s="68" t="n">
        <f aca="false">SUM(C3:N3)</f>
        <v>40705808.4336207</v>
      </c>
    </row>
    <row r="4" customFormat="false" ht="15.75" hidden="false" customHeight="false" outlineLevel="0" collapsed="false">
      <c r="A4" s="54" t="s">
        <v>133</v>
      </c>
      <c r="B4" s="69" t="s">
        <v>134</v>
      </c>
      <c r="C4" s="67" t="n">
        <f aca="false">('4Produção - OCULTA'!B4+'4Produção - OCULTA'!B5+'4Produção - OCULTA'!B6)*'6Consumo Especifico - OCULTA'!C4</f>
        <v>1870828.32764429</v>
      </c>
      <c r="D4" s="67" t="n">
        <f aca="false">('4Produção - OCULTA'!C4+'4Produção - OCULTA'!C5+'4Produção - OCULTA'!C6)*'6Consumo Especifico - OCULTA'!D4</f>
        <v>1690459.87349608</v>
      </c>
      <c r="E4" s="67" t="n">
        <f aca="false">('4Produção - OCULTA'!D4+'4Produção - OCULTA'!D5+'4Produção - OCULTA'!D6)*'6Consumo Especifico - OCULTA'!E4</f>
        <v>1871551.63970789</v>
      </c>
      <c r="F4" s="67" t="n">
        <f aca="false">('4Produção - OCULTA'!E4+'4Produção - OCULTA'!E5+'4Produção - OCULTA'!E6)*'6Consumo Especifico - OCULTA'!F4</f>
        <v>1811655.9728846</v>
      </c>
      <c r="G4" s="67" t="n">
        <f aca="false">('4Produção - OCULTA'!F4+'4Produção - OCULTA'!F5+'4Produção - OCULTA'!F6)*'6Consumo Especifico - OCULTA'!G4</f>
        <v>1871292.83666651</v>
      </c>
      <c r="H4" s="67" t="n">
        <f aca="false">('4Produção - OCULTA'!G4+'4Produção - OCULTA'!G5+'4Produção - OCULTA'!G6)*'6Consumo Especifico - OCULTA'!H4</f>
        <v>1810758.8178314</v>
      </c>
      <c r="I4" s="67" t="n">
        <f aca="false">('4Produção - OCULTA'!H4+'4Produção - OCULTA'!H5+'4Produção - OCULTA'!H6)*'6Consumo Especifico - OCULTA'!I4</f>
        <v>1871840.42342576</v>
      </c>
      <c r="J4" s="67" t="n">
        <f aca="false">('4Produção - OCULTA'!I4+'4Produção - OCULTA'!I5+'4Produção - OCULTA'!I6)*'6Consumo Especifico - OCULTA'!J4</f>
        <v>1871620.40917097</v>
      </c>
      <c r="K4" s="67" t="n">
        <f aca="false">('4Produção - OCULTA'!J4+'4Produção - OCULTA'!J5+'4Produção - OCULTA'!J6)*'6Consumo Especifico - OCULTA'!K4</f>
        <v>1810814.19192997</v>
      </c>
      <c r="L4" s="67" t="n">
        <f aca="false">('4Produção - OCULTA'!K4+'4Produção - OCULTA'!K5+'4Produção - OCULTA'!K6)*'6Consumo Especifico - OCULTA'!L4</f>
        <v>1871172.61400592</v>
      </c>
      <c r="M4" s="67" t="n">
        <f aca="false">('4Produção - OCULTA'!L4+'4Produção - OCULTA'!L5+'4Produção - OCULTA'!L6)*'6Consumo Especifico - OCULTA'!M4</f>
        <v>1810874.79019244</v>
      </c>
      <c r="N4" s="67" t="n">
        <f aca="false">('4Produção - OCULTA'!M4+'4Produção - OCULTA'!M5+'4Produção - OCULTA'!M6)*'6Consumo Especifico - OCULTA'!N4</f>
        <v>1872072.52061345</v>
      </c>
      <c r="O4" s="68" t="n">
        <f aca="false">SUM(C4:N4)</f>
        <v>22034942.4175693</v>
      </c>
    </row>
    <row r="5" customFormat="false" ht="15.75" hidden="false" customHeight="false" outlineLevel="0" collapsed="false">
      <c r="A5" s="54" t="n">
        <v>11130180</v>
      </c>
      <c r="B5" s="70" t="s">
        <v>125</v>
      </c>
      <c r="C5" s="71" t="n">
        <v>1040115.68181818</v>
      </c>
      <c r="D5" s="71" t="n">
        <v>1040115.68181818</v>
      </c>
      <c r="E5" s="71" t="n">
        <v>1040115.68181818</v>
      </c>
      <c r="F5" s="71" t="n">
        <v>1040115.68181818</v>
      </c>
      <c r="G5" s="71" t="n">
        <v>1040115.68181818</v>
      </c>
      <c r="H5" s="71" t="n">
        <v>1040115.68181818</v>
      </c>
      <c r="I5" s="71" t="n">
        <v>1040115.68181818</v>
      </c>
      <c r="J5" s="71" t="n">
        <v>1040115.68181818</v>
      </c>
      <c r="K5" s="71" t="n">
        <v>1040115.68181818</v>
      </c>
      <c r="L5" s="71" t="n">
        <v>1040115.68181818</v>
      </c>
      <c r="M5" s="71" t="n">
        <v>1040115.68181818</v>
      </c>
      <c r="N5" s="71" t="n">
        <v>1040115.68181818</v>
      </c>
      <c r="O5" s="68" t="n">
        <f aca="false">SUM(C5:N5)</f>
        <v>12481388.1818182</v>
      </c>
    </row>
    <row r="6" customFormat="false" ht="15.75" hidden="false" customHeight="false" outlineLevel="0" collapsed="false">
      <c r="A6" s="54" t="n">
        <v>11131180</v>
      </c>
      <c r="B6" s="70" t="s">
        <v>126</v>
      </c>
      <c r="C6" s="67" t="n">
        <f aca="false">'6Consumo Especifico - OCULTA'!C6*'4Produção - OCULTA'!B5</f>
        <v>25428140.25</v>
      </c>
      <c r="D6" s="67" t="n">
        <f aca="false">'6Consumo Especifico - OCULTA'!D6*'4Produção - OCULTA'!C5</f>
        <v>25428140.25</v>
      </c>
      <c r="E6" s="67" t="n">
        <f aca="false">'6Consumo Especifico - OCULTA'!E6*'4Produção - OCULTA'!D5</f>
        <v>25428140.25</v>
      </c>
      <c r="F6" s="67" t="n">
        <f aca="false">'6Consumo Especifico - OCULTA'!F6*'4Produção - OCULTA'!E5</f>
        <v>25428140.25</v>
      </c>
      <c r="G6" s="67" t="n">
        <f aca="false">'6Consumo Especifico - OCULTA'!G6*'4Produção - OCULTA'!F5</f>
        <v>25428140.25</v>
      </c>
      <c r="H6" s="67" t="n">
        <f aca="false">'6Consumo Especifico - OCULTA'!H6*'4Produção - OCULTA'!G5</f>
        <v>25428140.25</v>
      </c>
      <c r="I6" s="67" t="n">
        <f aca="false">'6Consumo Especifico - OCULTA'!I6*'4Produção - OCULTA'!H5</f>
        <v>25428140.25</v>
      </c>
      <c r="J6" s="67" t="n">
        <f aca="false">'6Consumo Especifico - OCULTA'!J6*'4Produção - OCULTA'!I5</f>
        <v>25428140.25</v>
      </c>
      <c r="K6" s="67" t="n">
        <f aca="false">'6Consumo Especifico - OCULTA'!K6*'4Produção - OCULTA'!J5</f>
        <v>25428140.25</v>
      </c>
      <c r="L6" s="67" t="n">
        <f aca="false">'6Consumo Especifico - OCULTA'!L6*'4Produção - OCULTA'!K5</f>
        <v>25428140.25</v>
      </c>
      <c r="M6" s="67" t="n">
        <f aca="false">'6Consumo Especifico - OCULTA'!M6*'4Produção - OCULTA'!L5</f>
        <v>25428140.25</v>
      </c>
      <c r="N6" s="67" t="n">
        <f aca="false">'6Consumo Especifico - OCULTA'!N6*'4Produção - OCULTA'!M5</f>
        <v>25428140.25</v>
      </c>
      <c r="O6" s="68" t="n">
        <f aca="false">SUM(C6:N6)</f>
        <v>305137683</v>
      </c>
    </row>
    <row r="7" customFormat="false" ht="15.75" hidden="false" customHeight="false" outlineLevel="0" collapsed="false">
      <c r="A7" s="54" t="n">
        <v>11132180</v>
      </c>
      <c r="B7" s="70" t="s">
        <v>127</v>
      </c>
      <c r="C7" s="67" t="n">
        <f aca="false">'6Consumo Especifico - OCULTA'!C7*'4Produção - OCULTA'!B6</f>
        <v>27896233.25</v>
      </c>
      <c r="D7" s="67" t="n">
        <f aca="false">'6Consumo Especifico - OCULTA'!D7*'4Produção - OCULTA'!C6</f>
        <v>27896233.25</v>
      </c>
      <c r="E7" s="67" t="n">
        <f aca="false">'6Consumo Especifico - OCULTA'!E7*'4Produção - OCULTA'!D6</f>
        <v>27896233.25</v>
      </c>
      <c r="F7" s="67" t="n">
        <f aca="false">'6Consumo Especifico - OCULTA'!F7*'4Produção - OCULTA'!E6</f>
        <v>27896233.25</v>
      </c>
      <c r="G7" s="67" t="n">
        <f aca="false">'6Consumo Especifico - OCULTA'!G7*'4Produção - OCULTA'!F6</f>
        <v>27896233.25</v>
      </c>
      <c r="H7" s="67" t="n">
        <f aca="false">'6Consumo Especifico - OCULTA'!H7*'4Produção - OCULTA'!G6</f>
        <v>27896233.25</v>
      </c>
      <c r="I7" s="67" t="n">
        <f aca="false">'6Consumo Especifico - OCULTA'!I7*'4Produção - OCULTA'!H6</f>
        <v>27896233.25</v>
      </c>
      <c r="J7" s="67" t="n">
        <f aca="false">'6Consumo Especifico - OCULTA'!J7*'4Produção - OCULTA'!I6</f>
        <v>27896233.25</v>
      </c>
      <c r="K7" s="67" t="n">
        <f aca="false">'6Consumo Especifico - OCULTA'!K7*'4Produção - OCULTA'!J6</f>
        <v>27896233.25</v>
      </c>
      <c r="L7" s="67" t="n">
        <f aca="false">'6Consumo Especifico - OCULTA'!L7*'4Produção - OCULTA'!K6</f>
        <v>27896233.25</v>
      </c>
      <c r="M7" s="67" t="n">
        <f aca="false">'6Consumo Especifico - OCULTA'!M7*'4Produção - OCULTA'!L6</f>
        <v>27896233.25</v>
      </c>
      <c r="N7" s="67" t="n">
        <f aca="false">'6Consumo Especifico - OCULTA'!N7*'4Produção - OCULTA'!M6</f>
        <v>27896233.25</v>
      </c>
      <c r="O7" s="68" t="n">
        <f aca="false">SUM(C7:N7)</f>
        <v>334754799</v>
      </c>
    </row>
    <row r="8" customFormat="false" ht="15.75" hidden="false" customHeight="false" outlineLevel="0" collapsed="false">
      <c r="A8" s="54" t="s">
        <v>135</v>
      </c>
      <c r="B8" s="54" t="s">
        <v>105</v>
      </c>
      <c r="C8" s="71" t="n">
        <v>230000</v>
      </c>
      <c r="D8" s="71" t="n">
        <v>210000</v>
      </c>
      <c r="E8" s="71" t="n">
        <v>230000</v>
      </c>
      <c r="F8" s="71" t="n">
        <v>225000</v>
      </c>
      <c r="G8" s="71" t="n">
        <v>210000</v>
      </c>
      <c r="H8" s="71" t="n">
        <v>230000</v>
      </c>
      <c r="I8" s="72" t="n">
        <v>225000</v>
      </c>
      <c r="J8" s="71" t="n">
        <v>230000</v>
      </c>
      <c r="K8" s="71" t="n">
        <v>230000</v>
      </c>
      <c r="L8" s="72" t="n">
        <v>230000</v>
      </c>
      <c r="M8" s="72" t="n">
        <v>225000</v>
      </c>
      <c r="N8" s="72" t="n">
        <v>230000</v>
      </c>
      <c r="O8" s="68" t="n">
        <f aca="false">SUM(C8:N8)</f>
        <v>2705000</v>
      </c>
    </row>
    <row r="9" customFormat="false" ht="15.75" hidden="false" customHeight="false" outlineLevel="0" collapsed="false">
      <c r="A9" s="54" t="n">
        <v>11162090</v>
      </c>
      <c r="B9" s="54" t="s">
        <v>106</v>
      </c>
      <c r="C9" s="67" t="n">
        <f aca="false">'6Consumo Especifico - OCULTA'!C9*'4Produção - OCULTA'!B8</f>
        <v>0</v>
      </c>
      <c r="D9" s="67" t="n">
        <f aca="false">'6Consumo Especifico - OCULTA'!D9*'4Produção - OCULTA'!C8</f>
        <v>0</v>
      </c>
      <c r="E9" s="67" t="n">
        <f aca="false">'6Consumo Especifico - OCULTA'!E9*'4Produção - OCULTA'!D8</f>
        <v>0</v>
      </c>
      <c r="F9" s="67" t="n">
        <f aca="false">'6Consumo Especifico - OCULTA'!F9*'4Produção - OCULTA'!E8</f>
        <v>0</v>
      </c>
      <c r="G9" s="67" t="n">
        <f aca="false">'6Consumo Especifico - OCULTA'!G9*'4Produção - OCULTA'!F8</f>
        <v>0</v>
      </c>
      <c r="H9" s="67" t="n">
        <f aca="false">'6Consumo Especifico - OCULTA'!H9*'4Produção - OCULTA'!G8</f>
        <v>0</v>
      </c>
      <c r="I9" s="67" t="n">
        <f aca="false">'6Consumo Especifico - OCULTA'!I9*'4Produção - OCULTA'!H8</f>
        <v>0</v>
      </c>
      <c r="J9" s="67" t="n">
        <f aca="false">'6Consumo Especifico - OCULTA'!J9*'4Produção - OCULTA'!I8</f>
        <v>0</v>
      </c>
      <c r="K9" s="67" t="n">
        <f aca="false">'6Consumo Especifico - OCULTA'!K9*'4Produção - OCULTA'!J8</f>
        <v>0</v>
      </c>
      <c r="L9" s="67" t="n">
        <f aca="false">'6Consumo Especifico - OCULTA'!L9*'4Produção - OCULTA'!K8</f>
        <v>0</v>
      </c>
      <c r="M9" s="67" t="n">
        <f aca="false">'6Consumo Especifico - OCULTA'!M9*'4Produção - OCULTA'!L8</f>
        <v>0</v>
      </c>
      <c r="N9" s="67" t="n">
        <f aca="false">'6Consumo Especifico - OCULTA'!N9*'4Produção - OCULTA'!M8</f>
        <v>0</v>
      </c>
      <c r="O9" s="68" t="n">
        <f aca="false">'6Consumo Especifico - OCULTA'!O9*'4Produção - OCULTA'!N8</f>
        <v>0</v>
      </c>
    </row>
    <row r="10" customFormat="false" ht="15.75" hidden="false" customHeight="false" outlineLevel="0" collapsed="false">
      <c r="A10" s="54" t="n">
        <v>11162120</v>
      </c>
      <c r="B10" s="54" t="s">
        <v>107</v>
      </c>
      <c r="C10" s="67" t="n">
        <f aca="false">'6Consumo Especifico - OCULTA'!C10*'4Produção - OCULTA'!B9</f>
        <v>8956575.84564236</v>
      </c>
      <c r="D10" s="67" t="n">
        <f aca="false">'6Consumo Especifico - OCULTA'!D10*'4Produção - OCULTA'!C9</f>
        <v>8847220.95148821</v>
      </c>
      <c r="E10" s="67" t="n">
        <f aca="false">'6Consumo Especifico - OCULTA'!E10*'4Produção - OCULTA'!D9</f>
        <v>9501719.87903811</v>
      </c>
      <c r="F10" s="67" t="n">
        <f aca="false">'6Consumo Especifico - OCULTA'!F10*'4Produção - OCULTA'!E9</f>
        <v>9751316.77181642</v>
      </c>
      <c r="G10" s="67" t="n">
        <f aca="false">'6Consumo Especifico - OCULTA'!G10*'4Produção - OCULTA'!F9</f>
        <v>9972118.64661928</v>
      </c>
      <c r="H10" s="67" t="n">
        <f aca="false">'6Consumo Especifico - OCULTA'!H10*'4Produção - OCULTA'!G9</f>
        <v>10232757.9521221</v>
      </c>
      <c r="I10" s="67" t="n">
        <f aca="false">'6Consumo Especifico - OCULTA'!I10*'4Produção - OCULTA'!H9</f>
        <v>10435862.0389185</v>
      </c>
      <c r="J10" s="67" t="n">
        <f aca="false">'6Consumo Especifico - OCULTA'!J10*'4Produção - OCULTA'!I9</f>
        <v>10003630.0974945</v>
      </c>
      <c r="K10" s="67" t="n">
        <f aca="false">'6Consumo Especifico - OCULTA'!K10*'4Produção - OCULTA'!J9</f>
        <v>10073573.1300178</v>
      </c>
      <c r="L10" s="67" t="n">
        <f aca="false">'6Consumo Especifico - OCULTA'!L10*'4Produção - OCULTA'!K9</f>
        <v>10101751.6171038</v>
      </c>
      <c r="M10" s="67" t="n">
        <f aca="false">'6Consumo Especifico - OCULTA'!M10*'4Produção - OCULTA'!L9</f>
        <v>8999043.39428967</v>
      </c>
      <c r="N10" s="67" t="n">
        <f aca="false">'6Consumo Especifico - OCULTA'!N10*'4Produção - OCULTA'!M9</f>
        <v>9424216.17037903</v>
      </c>
      <c r="O10" s="68" t="n">
        <f aca="false">SUM(C10:N10)</f>
        <v>116299786.49493</v>
      </c>
    </row>
    <row r="11" customFormat="false" ht="15.75" hidden="false" customHeight="false" outlineLevel="0" collapsed="false">
      <c r="A11" s="54" t="s">
        <v>136</v>
      </c>
      <c r="B11" s="54" t="s">
        <v>108</v>
      </c>
      <c r="C11" s="67" t="n">
        <f aca="false">'6Consumo Especifico - OCULTA'!C11*'4Produção - OCULTA'!B10</f>
        <v>0</v>
      </c>
      <c r="D11" s="67" t="n">
        <f aca="false">'6Consumo Especifico - OCULTA'!D11*'4Produção - OCULTA'!C10</f>
        <v>0</v>
      </c>
      <c r="E11" s="67" t="n">
        <f aca="false">'6Consumo Especifico - OCULTA'!E11*'4Produção - OCULTA'!D10</f>
        <v>0</v>
      </c>
      <c r="F11" s="67" t="n">
        <f aca="false">'6Consumo Especifico - OCULTA'!F11*'4Produção - OCULTA'!E10</f>
        <v>0</v>
      </c>
      <c r="G11" s="67" t="n">
        <f aca="false">'6Consumo Especifico - OCULTA'!G11*'4Produção - OCULTA'!F10</f>
        <v>0</v>
      </c>
      <c r="H11" s="67" t="n">
        <f aca="false">'6Consumo Especifico - OCULTA'!H11*'4Produção - OCULTA'!G10</f>
        <v>0</v>
      </c>
      <c r="I11" s="67" t="n">
        <f aca="false">'6Consumo Especifico - OCULTA'!I11*'4Produção - OCULTA'!H10</f>
        <v>0</v>
      </c>
      <c r="J11" s="67" t="n">
        <f aca="false">'6Consumo Especifico - OCULTA'!J11*'4Produção - OCULTA'!I10</f>
        <v>0</v>
      </c>
      <c r="K11" s="67" t="n">
        <f aca="false">'6Consumo Especifico - OCULTA'!K11*'4Produção - OCULTA'!J10</f>
        <v>0</v>
      </c>
      <c r="L11" s="67" t="n">
        <f aca="false">'6Consumo Especifico - OCULTA'!L11*'4Produção - OCULTA'!K10</f>
        <v>0</v>
      </c>
      <c r="M11" s="67" t="n">
        <f aca="false">'6Consumo Especifico - OCULTA'!M11*'4Produção - OCULTA'!L10</f>
        <v>0</v>
      </c>
      <c r="N11" s="67" t="n">
        <f aca="false">'6Consumo Especifico - OCULTA'!N11*'4Produção - OCULTA'!M10</f>
        <v>0</v>
      </c>
      <c r="O11" s="68" t="n">
        <f aca="false">SUM(C11:N11)</f>
        <v>0</v>
      </c>
    </row>
    <row r="12" customFormat="false" ht="15.75" hidden="false" customHeight="false" outlineLevel="0" collapsed="false">
      <c r="A12" s="54" t="n">
        <v>12111080</v>
      </c>
      <c r="B12" s="54" t="s">
        <v>109</v>
      </c>
      <c r="C12" s="67" t="n">
        <f aca="false">'6Consumo Especifico - OCULTA'!C12*'4Produção - OCULTA'!B11</f>
        <v>13576558.703996</v>
      </c>
      <c r="D12" s="67" t="n">
        <f aca="false">'6Consumo Especifico - OCULTA'!D12*'4Produção - OCULTA'!C11</f>
        <v>13248121.9830788</v>
      </c>
      <c r="E12" s="67" t="n">
        <f aca="false">'6Consumo Especifico - OCULTA'!E12*'4Produção - OCULTA'!D11</f>
        <v>13538725.105765</v>
      </c>
      <c r="F12" s="67" t="n">
        <f aca="false">'6Consumo Especifico - OCULTA'!F12*'4Produção - OCULTA'!E11</f>
        <v>14781243.063803</v>
      </c>
      <c r="G12" s="67" t="n">
        <f aca="false">'6Consumo Especifico - OCULTA'!G12*'4Produção - OCULTA'!F11</f>
        <v>15216844.2306552</v>
      </c>
      <c r="H12" s="67" t="n">
        <f aca="false">'6Consumo Especifico - OCULTA'!H12*'4Produção - OCULTA'!G11</f>
        <v>15312331.4845014</v>
      </c>
      <c r="I12" s="67" t="n">
        <f aca="false">'6Consumo Especifico - OCULTA'!I12*'4Produção - OCULTA'!H11</f>
        <v>15770685.6983315</v>
      </c>
      <c r="J12" s="67" t="n">
        <f aca="false">'6Consumo Especifico - OCULTA'!J12*'4Produção - OCULTA'!I11</f>
        <v>15004086.7585759</v>
      </c>
      <c r="K12" s="67" t="n">
        <f aca="false">'6Consumo Especifico - OCULTA'!K12*'4Produção - OCULTA'!J11</f>
        <v>15269725.765257</v>
      </c>
      <c r="L12" s="67" t="n">
        <f aca="false">'6Consumo Especifico - OCULTA'!L12*'4Produção - OCULTA'!K11</f>
        <v>15151255.7141203</v>
      </c>
      <c r="M12" s="67" t="n">
        <f aca="false">'6Consumo Especifico - OCULTA'!M12*'4Produção - OCULTA'!L11</f>
        <v>13568757.62991</v>
      </c>
      <c r="N12" s="67" t="n">
        <f aca="false">'6Consumo Especifico - OCULTA'!N12*'4Produção - OCULTA'!M11</f>
        <v>14135044.5462149</v>
      </c>
      <c r="O12" s="68" t="n">
        <f aca="false">SUM(C12:N12)</f>
        <v>174573380.684209</v>
      </c>
    </row>
    <row r="13" customFormat="false" ht="15.75" hidden="false" customHeight="false" outlineLevel="0" collapsed="false">
      <c r="A13" s="54" t="n">
        <v>12133040</v>
      </c>
      <c r="B13" s="54" t="s">
        <v>110</v>
      </c>
      <c r="C13" s="67" t="n">
        <f aca="false">'6Consumo Especifico - OCULTA'!C13*'4Produção - OCULTA'!B12</f>
        <v>0</v>
      </c>
      <c r="D13" s="67" t="n">
        <f aca="false">'6Consumo Especifico - OCULTA'!D13*'4Produção - OCULTA'!C12</f>
        <v>0</v>
      </c>
      <c r="E13" s="67" t="n">
        <f aca="false">'6Consumo Especifico - OCULTA'!E13*'4Produção - OCULTA'!D12</f>
        <v>0</v>
      </c>
      <c r="F13" s="67" t="n">
        <f aca="false">'6Consumo Especifico - OCULTA'!F13*'4Produção - OCULTA'!E12</f>
        <v>0</v>
      </c>
      <c r="G13" s="67" t="n">
        <f aca="false">'6Consumo Especifico - OCULTA'!G13*'4Produção - OCULTA'!F12</f>
        <v>0</v>
      </c>
      <c r="H13" s="67" t="n">
        <f aca="false">'6Consumo Especifico - OCULTA'!H13*'4Produção - OCULTA'!G12</f>
        <v>0</v>
      </c>
      <c r="I13" s="67" t="n">
        <f aca="false">'6Consumo Especifico - OCULTA'!I13*'4Produção - OCULTA'!H12</f>
        <v>0</v>
      </c>
      <c r="J13" s="67" t="n">
        <f aca="false">'6Consumo Especifico - OCULTA'!J13*'4Produção - OCULTA'!I12</f>
        <v>0</v>
      </c>
      <c r="K13" s="67" t="n">
        <f aca="false">'6Consumo Especifico - OCULTA'!K13*'4Produção - OCULTA'!J12</f>
        <v>0</v>
      </c>
      <c r="L13" s="67" t="n">
        <f aca="false">'6Consumo Especifico - OCULTA'!L13*'4Produção - OCULTA'!K12</f>
        <v>0</v>
      </c>
      <c r="M13" s="67" t="n">
        <f aca="false">'6Consumo Especifico - OCULTA'!M13*'4Produção - OCULTA'!L12</f>
        <v>0</v>
      </c>
      <c r="N13" s="67" t="n">
        <f aca="false">'6Consumo Especifico - OCULTA'!N13*'4Produção - OCULTA'!M12</f>
        <v>0</v>
      </c>
      <c r="O13" s="68" t="n">
        <f aca="false">SUM(C13:N13)</f>
        <v>0</v>
      </c>
    </row>
    <row r="14" customFormat="false" ht="15.75" hidden="false" customHeight="false" outlineLevel="0" collapsed="false">
      <c r="A14" s="54" t="n">
        <v>12135040</v>
      </c>
      <c r="B14" s="54" t="s">
        <v>111</v>
      </c>
      <c r="C14" s="67" t="n">
        <f aca="false">'6Consumo Especifico - OCULTA'!C14*'4Produção - OCULTA'!B13</f>
        <v>0</v>
      </c>
      <c r="D14" s="67" t="n">
        <f aca="false">'6Consumo Especifico - OCULTA'!D14*'4Produção - OCULTA'!C13</f>
        <v>0</v>
      </c>
      <c r="E14" s="67" t="n">
        <f aca="false">'6Consumo Especifico - OCULTA'!E14*'4Produção - OCULTA'!D13</f>
        <v>0</v>
      </c>
      <c r="F14" s="67" t="n">
        <f aca="false">'6Consumo Especifico - OCULTA'!F14*'4Produção - OCULTA'!E13</f>
        <v>0</v>
      </c>
      <c r="G14" s="67" t="n">
        <f aca="false">'6Consumo Especifico - OCULTA'!G14*'4Produção - OCULTA'!F13</f>
        <v>0</v>
      </c>
      <c r="H14" s="67" t="n">
        <f aca="false">'6Consumo Especifico - OCULTA'!H14*'4Produção - OCULTA'!G13</f>
        <v>0</v>
      </c>
      <c r="I14" s="67" t="n">
        <f aca="false">'6Consumo Especifico - OCULTA'!I14*'4Produção - OCULTA'!H13</f>
        <v>0</v>
      </c>
      <c r="J14" s="67" t="n">
        <f aca="false">'6Consumo Especifico - OCULTA'!J14*'4Produção - OCULTA'!I13</f>
        <v>0</v>
      </c>
      <c r="K14" s="67" t="n">
        <f aca="false">'6Consumo Especifico - OCULTA'!K14*'4Produção - OCULTA'!J13</f>
        <v>0</v>
      </c>
      <c r="L14" s="67" t="n">
        <f aca="false">'6Consumo Especifico - OCULTA'!L14*'4Produção - OCULTA'!K13</f>
        <v>0</v>
      </c>
      <c r="M14" s="67" t="n">
        <f aca="false">'6Consumo Especifico - OCULTA'!M14*'4Produção - OCULTA'!L13</f>
        <v>0</v>
      </c>
      <c r="N14" s="67" t="n">
        <f aca="false">'6Consumo Especifico - OCULTA'!N14*'4Produção - OCULTA'!M13</f>
        <v>0</v>
      </c>
      <c r="O14" s="68" t="n">
        <f aca="false">SUM(C14:N14)</f>
        <v>0</v>
      </c>
    </row>
    <row r="15" customFormat="false" ht="15.75" hidden="false" customHeight="false" outlineLevel="0" collapsed="false">
      <c r="A15" s="54" t="n">
        <v>12136040</v>
      </c>
      <c r="B15" s="54" t="s">
        <v>112</v>
      </c>
      <c r="C15" s="67" t="n">
        <f aca="false">'6Consumo Especifico - OCULTA'!C15*'4Produção - OCULTA'!B14</f>
        <v>14208007.2873824</v>
      </c>
      <c r="D15" s="67" t="n">
        <f aca="false">'6Consumo Especifico - OCULTA'!D15*'4Produção - OCULTA'!C14</f>
        <v>13696732.3959369</v>
      </c>
      <c r="E15" s="67" t="n">
        <f aca="false">'6Consumo Especifico - OCULTA'!E15*'4Produção - OCULTA'!D14</f>
        <v>11532296.8965098</v>
      </c>
      <c r="F15" s="67" t="n">
        <f aca="false">'6Consumo Especifico - OCULTA'!F15*'4Produção - OCULTA'!E14</f>
        <v>15634192.4297162</v>
      </c>
      <c r="G15" s="67" t="n">
        <f aca="false">'6Consumo Especifico - OCULTA'!G15*'4Produção - OCULTA'!F14</f>
        <v>15789967.6092163</v>
      </c>
      <c r="H15" s="67" t="n">
        <f aca="false">'6Consumo Especifico - OCULTA'!H15*'4Produção - OCULTA'!G14</f>
        <v>15947410.0806167</v>
      </c>
      <c r="I15" s="67" t="n">
        <f aca="false">'6Consumo Especifico - OCULTA'!I15*'4Produção - OCULTA'!H14</f>
        <v>16781462.8597499</v>
      </c>
      <c r="J15" s="67" t="n">
        <f aca="false">'6Consumo Especifico - OCULTA'!J15*'4Produção - OCULTA'!I14</f>
        <v>15792198.9401779</v>
      </c>
      <c r="K15" s="67" t="n">
        <f aca="false">'6Consumo Especifico - OCULTA'!K15*'4Produção - OCULTA'!J14</f>
        <v>15686132.1601786</v>
      </c>
      <c r="L15" s="67" t="n">
        <f aca="false">'6Consumo Especifico - OCULTA'!L15*'4Produção - OCULTA'!K14</f>
        <v>16056330.1798062</v>
      </c>
      <c r="M15" s="67" t="n">
        <f aca="false">'6Consumo Especifico - OCULTA'!M15*'4Produção - OCULTA'!L14</f>
        <v>14128006.2586871</v>
      </c>
      <c r="N15" s="67" t="n">
        <f aca="false">'6Consumo Especifico - OCULTA'!N15*'4Produção - OCULTA'!M14</f>
        <v>14629500.6790608</v>
      </c>
      <c r="O15" s="68" t="n">
        <f aca="false">SUM(C15:N15)</f>
        <v>179882237.777039</v>
      </c>
    </row>
    <row r="16" customFormat="false" ht="15.75" hidden="false" customHeight="false" outlineLevel="0" collapsed="false">
      <c r="A16" s="54" t="n">
        <v>12138040</v>
      </c>
      <c r="B16" s="54" t="s">
        <v>113</v>
      </c>
      <c r="C16" s="67" t="n">
        <f aca="false">'6Consumo Especifico - OCULTA'!C16*'4Produção - OCULTA'!B15</f>
        <v>19071583.765555</v>
      </c>
      <c r="D16" s="67" t="n">
        <f aca="false">'6Consumo Especifico - OCULTA'!D16*'4Produção - OCULTA'!C15</f>
        <v>17736321.3542907</v>
      </c>
      <c r="E16" s="67" t="n">
        <f aca="false">'6Consumo Especifico - OCULTA'!E16*'4Produção - OCULTA'!D15</f>
        <v>21838381.0752933</v>
      </c>
      <c r="F16" s="67" t="n">
        <f aca="false">'6Consumo Especifico - OCULTA'!F16*'4Produção - OCULTA'!E15</f>
        <v>20961140.4503872</v>
      </c>
      <c r="G16" s="67" t="n">
        <f aca="false">'6Consumo Especifico - OCULTA'!G16*'4Produção - OCULTA'!F15</f>
        <v>20514206.5302902</v>
      </c>
      <c r="H16" s="67" t="n">
        <f aca="false">'6Consumo Especifico - OCULTA'!H16*'4Produção - OCULTA'!G15</f>
        <v>22132791.8269389</v>
      </c>
      <c r="I16" s="67" t="n">
        <f aca="false">'6Consumo Especifico - OCULTA'!I16*'4Produção - OCULTA'!H15</f>
        <v>22522503.0681624</v>
      </c>
      <c r="J16" s="67" t="n">
        <f aca="false">'6Consumo Especifico - OCULTA'!J16*'4Produção - OCULTA'!I15</f>
        <v>20471535.6450967</v>
      </c>
      <c r="K16" s="67" t="n">
        <f aca="false">'6Consumo Especifico - OCULTA'!K16*'4Produção - OCULTA'!J15</f>
        <v>21722814.9668033</v>
      </c>
      <c r="L16" s="67" t="n">
        <f aca="false">'6Consumo Especifico - OCULTA'!L16*'4Produção - OCULTA'!K15</f>
        <v>21547073.429466</v>
      </c>
      <c r="M16" s="67" t="n">
        <f aca="false">'6Consumo Especifico - OCULTA'!M16*'4Produção - OCULTA'!L15</f>
        <v>18189831.5469656</v>
      </c>
      <c r="N16" s="67" t="n">
        <f aca="false">'6Consumo Especifico - OCULTA'!N16*'4Produção - OCULTA'!M15</f>
        <v>20229318.7077653</v>
      </c>
      <c r="O16" s="68" t="n">
        <f aca="false">SUM(C16:N16)</f>
        <v>246937502.367015</v>
      </c>
    </row>
    <row r="17" customFormat="false" ht="15.75" hidden="false" customHeight="false" outlineLevel="0" collapsed="false">
      <c r="A17" s="54" t="s">
        <v>137</v>
      </c>
      <c r="B17" s="54" t="s">
        <v>129</v>
      </c>
      <c r="C17" s="67" t="n">
        <f aca="false">'6Consumo Especifico - OCULTA'!C17*'4Produção - OCULTA'!B16</f>
        <v>927226.163471843</v>
      </c>
      <c r="D17" s="67" t="n">
        <f aca="false">'6Consumo Especifico - OCULTA'!D17*'4Produção - OCULTA'!C16</f>
        <v>876333.129135235</v>
      </c>
      <c r="E17" s="67" t="n">
        <f aca="false">'6Consumo Especifico - OCULTA'!E17*'4Produção - OCULTA'!D16</f>
        <v>924329.759315937</v>
      </c>
      <c r="F17" s="67" t="n">
        <f aca="false">'6Consumo Especifico - OCULTA'!F17*'4Produção - OCULTA'!E16</f>
        <v>1019629.60595172</v>
      </c>
      <c r="G17" s="67" t="n">
        <f aca="false">'6Consumo Especifico - OCULTA'!G17*'4Produção - OCULTA'!F16</f>
        <v>1012078.10571949</v>
      </c>
      <c r="H17" s="67" t="n">
        <f aca="false">'6Consumo Especifico - OCULTA'!H17*'4Produção - OCULTA'!G16</f>
        <v>1060358.562745</v>
      </c>
      <c r="I17" s="67" t="n">
        <f aca="false">'6Consumo Especifico - OCULTA'!I17*'4Produção - OCULTA'!H16</f>
        <v>1095078.48049697</v>
      </c>
      <c r="J17" s="67" t="n">
        <f aca="false">'6Consumo Especifico - OCULTA'!J17*'4Produção - OCULTA'!I16</f>
        <v>1010990.41926613</v>
      </c>
      <c r="K17" s="67" t="n">
        <f aca="false">'6Consumo Especifico - OCULTA'!K17*'4Produção - OCULTA'!J16</f>
        <v>1041706.90659403</v>
      </c>
      <c r="L17" s="67" t="n">
        <f aca="false">'6Consumo Especifico - OCULTA'!L17*'4Produção - OCULTA'!K16</f>
        <v>1047699.68754187</v>
      </c>
      <c r="M17" s="67" t="n">
        <f aca="false">'6Consumo Especifico - OCULTA'!M17*'4Produção - OCULTA'!L16</f>
        <v>901091.889961051</v>
      </c>
      <c r="N17" s="67" t="n">
        <f aca="false">'6Consumo Especifico - OCULTA'!N17*'4Produção - OCULTA'!M16</f>
        <v>970720.239948051</v>
      </c>
      <c r="O17" s="68" t="n">
        <f aca="false">SUM(C17:N17)</f>
        <v>11887242.9501473</v>
      </c>
    </row>
    <row r="19" customFormat="false" ht="15.75" hidden="false" customHeight="false" outlineLevel="0" collapsed="false">
      <c r="A19" s="52"/>
      <c r="B19" s="54" t="s">
        <v>139</v>
      </c>
    </row>
    <row r="20" customFormat="false" ht="15.75" hidden="false" customHeight="false" outlineLevel="0" collapsed="false">
      <c r="A20" s="54" t="s">
        <v>119</v>
      </c>
      <c r="B20" s="54" t="s">
        <v>59</v>
      </c>
      <c r="C20" s="55" t="s">
        <v>76</v>
      </c>
      <c r="D20" s="55" t="s">
        <v>77</v>
      </c>
      <c r="E20" s="55" t="s">
        <v>78</v>
      </c>
      <c r="F20" s="55" t="s">
        <v>79</v>
      </c>
      <c r="G20" s="55" t="s">
        <v>80</v>
      </c>
      <c r="H20" s="55" t="s">
        <v>81</v>
      </c>
      <c r="I20" s="55" t="s">
        <v>82</v>
      </c>
      <c r="J20" s="55" t="s">
        <v>83</v>
      </c>
      <c r="K20" s="55" t="s">
        <v>84</v>
      </c>
      <c r="L20" s="55" t="s">
        <v>85</v>
      </c>
      <c r="M20" s="55" t="s">
        <v>86</v>
      </c>
      <c r="N20" s="55" t="s">
        <v>87</v>
      </c>
      <c r="O20" s="55" t="s">
        <v>138</v>
      </c>
    </row>
    <row r="21" customFormat="false" ht="15.75" hidden="false" customHeight="false" outlineLevel="0" collapsed="false">
      <c r="A21" s="73" t="s">
        <v>123</v>
      </c>
      <c r="B21" s="73" t="s">
        <v>140</v>
      </c>
      <c r="C21" s="67" t="n">
        <f aca="false">C3/1000</f>
        <v>3471.86141202113</v>
      </c>
      <c r="D21" s="67" t="n">
        <f aca="false">D3/1000</f>
        <v>3430.14986312691</v>
      </c>
      <c r="E21" s="67" t="n">
        <f aca="false">E3/1000</f>
        <v>3302.02704161642</v>
      </c>
      <c r="F21" s="67" t="n">
        <f aca="false">F3/1000</f>
        <v>3371.82708158953</v>
      </c>
      <c r="G21" s="67" t="n">
        <f aca="false">G3/1000</f>
        <v>3326.58190225222</v>
      </c>
      <c r="H21" s="67" t="n">
        <f aca="false">H3/1000</f>
        <v>3337.45042986324</v>
      </c>
      <c r="I21" s="67" t="n">
        <f aca="false">I3/1000</f>
        <v>3354.30753294583</v>
      </c>
      <c r="J21" s="67" t="n">
        <f aca="false">J3/1000</f>
        <v>3377.19254108276</v>
      </c>
      <c r="K21" s="67" t="n">
        <f aca="false">K3/1000</f>
        <v>3351.29514551182</v>
      </c>
      <c r="L21" s="67" t="n">
        <f aca="false">L3/1000</f>
        <v>3406.14295653957</v>
      </c>
      <c r="M21" s="67" t="n">
        <f aca="false">M3/1000</f>
        <v>3448.91198455095</v>
      </c>
      <c r="N21" s="67" t="n">
        <f aca="false">N3/1000</f>
        <v>3528.06054252029</v>
      </c>
      <c r="O21" s="67" t="n">
        <f aca="false">O3/1000</f>
        <v>40705.8084336207</v>
      </c>
    </row>
    <row r="22" customFormat="false" ht="15.75" hidden="false" customHeight="false" outlineLevel="0" collapsed="false">
      <c r="A22" s="73" t="s">
        <v>124</v>
      </c>
      <c r="B22" s="73" t="s">
        <v>140</v>
      </c>
      <c r="C22" s="67" t="n">
        <f aca="false">SUM(C4)/1000</f>
        <v>1870.82832764429</v>
      </c>
      <c r="D22" s="67" t="n">
        <f aca="false">SUM(D4)/1000</f>
        <v>1690.45987349608</v>
      </c>
      <c r="E22" s="67" t="n">
        <f aca="false">SUM(E4)/1000</f>
        <v>1871.55163970789</v>
      </c>
      <c r="F22" s="67" t="n">
        <f aca="false">SUM(F4)/1000</f>
        <v>1811.6559728846</v>
      </c>
      <c r="G22" s="67" t="n">
        <f aca="false">SUM(G4)/1000</f>
        <v>1871.29283666651</v>
      </c>
      <c r="H22" s="67" t="n">
        <f aca="false">SUM(H4)/1000</f>
        <v>1810.7588178314</v>
      </c>
      <c r="I22" s="67" t="n">
        <f aca="false">SUM(I4)/1000</f>
        <v>1871.84042342576</v>
      </c>
      <c r="J22" s="67" t="n">
        <f aca="false">SUM(J4)/1000</f>
        <v>1871.62040917097</v>
      </c>
      <c r="K22" s="67" t="n">
        <f aca="false">SUM(K4)/1000</f>
        <v>1810.81419192997</v>
      </c>
      <c r="L22" s="67" t="n">
        <f aca="false">SUM(L4)/1000</f>
        <v>1871.17261400592</v>
      </c>
      <c r="M22" s="67" t="n">
        <f aca="false">SUM(M4)/1000</f>
        <v>1810.87479019244</v>
      </c>
      <c r="N22" s="67" t="n">
        <f aca="false">SUM(N4)/1000</f>
        <v>1872.07252061345</v>
      </c>
      <c r="O22" s="67" t="n">
        <f aca="false">SUM(O4)/1000</f>
        <v>22034.9424175693</v>
      </c>
    </row>
    <row r="23" customFormat="false" ht="15.75" hidden="false" customHeight="false" outlineLevel="0" collapsed="false">
      <c r="A23" s="73" t="s">
        <v>141</v>
      </c>
      <c r="B23" s="73" t="s">
        <v>140</v>
      </c>
      <c r="C23" s="67" t="n">
        <f aca="false">SUM(C5:C7)/1000</f>
        <v>54364.4891818182</v>
      </c>
      <c r="D23" s="67" t="n">
        <f aca="false">SUM(D5:D7)/1000</f>
        <v>54364.4891818182</v>
      </c>
      <c r="E23" s="67" t="n">
        <f aca="false">SUM(E5:E7)/1000</f>
        <v>54364.4891818182</v>
      </c>
      <c r="F23" s="67" t="n">
        <f aca="false">SUM(F5:F7)/1000</f>
        <v>54364.4891818182</v>
      </c>
      <c r="G23" s="67" t="n">
        <f aca="false">SUM(G5:G7)/1000</f>
        <v>54364.4891818182</v>
      </c>
      <c r="H23" s="67" t="n">
        <f aca="false">SUM(H5:H7)/1000</f>
        <v>54364.4891818182</v>
      </c>
      <c r="I23" s="67" t="n">
        <f aca="false">SUM(I5:I7)/1000</f>
        <v>54364.4891818182</v>
      </c>
      <c r="J23" s="67" t="n">
        <f aca="false">SUM(J5:J7)/1000</f>
        <v>54364.4891818182</v>
      </c>
      <c r="K23" s="67" t="n">
        <f aca="false">SUM(K5:K7)/1000</f>
        <v>54364.4891818182</v>
      </c>
      <c r="L23" s="67" t="n">
        <f aca="false">SUM(L5:L7)/1000</f>
        <v>54364.4891818182</v>
      </c>
      <c r="M23" s="67" t="n">
        <f aca="false">SUM(M5:M7)/1000</f>
        <v>54364.4891818182</v>
      </c>
      <c r="N23" s="67" t="n">
        <f aca="false">SUM(N5:N7)/1000</f>
        <v>54364.4891818182</v>
      </c>
      <c r="O23" s="67" t="n">
        <f aca="false">SUM(O5:O7)/1000</f>
        <v>652373.870181818</v>
      </c>
    </row>
    <row r="24" customFormat="false" ht="15.75" hidden="false" customHeight="false" outlineLevel="0" collapsed="false">
      <c r="A24" s="73" t="s">
        <v>142</v>
      </c>
      <c r="B24" s="73" t="s">
        <v>140</v>
      </c>
      <c r="C24" s="67" t="n">
        <f aca="false">SUM(C8:C10)/1000</f>
        <v>9186.57584564236</v>
      </c>
      <c r="D24" s="67" t="n">
        <f aca="false">SUM(D8:D10)/1000</f>
        <v>9057.22095148821</v>
      </c>
      <c r="E24" s="67" t="n">
        <f aca="false">SUM(E8:E10)/1000</f>
        <v>9731.71987903811</v>
      </c>
      <c r="F24" s="67" t="n">
        <f aca="false">SUM(F8:F10)/1000</f>
        <v>9976.31677181642</v>
      </c>
      <c r="G24" s="67" t="n">
        <f aca="false">SUM(G8:G10)/1000</f>
        <v>10182.1186466193</v>
      </c>
      <c r="H24" s="67" t="n">
        <f aca="false">SUM(H8:H10)/1000</f>
        <v>10462.7579521221</v>
      </c>
      <c r="I24" s="67" t="n">
        <f aca="false">SUM(I8:I10)/1000</f>
        <v>10660.8620389185</v>
      </c>
      <c r="J24" s="67" t="n">
        <f aca="false">SUM(J8:J10)/1000</f>
        <v>10233.6300974945</v>
      </c>
      <c r="K24" s="67" t="n">
        <f aca="false">SUM(K8:K10)/1000</f>
        <v>10303.5731300178</v>
      </c>
      <c r="L24" s="67" t="n">
        <f aca="false">SUM(L8:L10)/1000</f>
        <v>10331.7516171038</v>
      </c>
      <c r="M24" s="67" t="n">
        <f aca="false">SUM(M8:M10)/1000</f>
        <v>9224.04339428967</v>
      </c>
      <c r="N24" s="67" t="n">
        <f aca="false">SUM(N8:N10)/1000</f>
        <v>9654.21617037903</v>
      </c>
      <c r="O24" s="67" t="n">
        <f aca="false">SUM(O8:O10)/1000</f>
        <v>119004.78649493</v>
      </c>
    </row>
    <row r="25" customFormat="false" ht="15.75" hidden="false" customHeight="false" outlineLevel="0" collapsed="false">
      <c r="A25" s="54" t="s">
        <v>143</v>
      </c>
      <c r="B25" s="54" t="s">
        <v>140</v>
      </c>
      <c r="C25" s="67" t="n">
        <f aca="false">SUM(C11:C12)/1000</f>
        <v>13576.558703996</v>
      </c>
      <c r="D25" s="67" t="n">
        <f aca="false">SUM(D11:D12)/1000</f>
        <v>13248.1219830788</v>
      </c>
      <c r="E25" s="67" t="n">
        <f aca="false">SUM(E11:E12)/1000</f>
        <v>13538.725105765</v>
      </c>
      <c r="F25" s="67" t="n">
        <f aca="false">SUM(F11:F12)/1000</f>
        <v>14781.243063803</v>
      </c>
      <c r="G25" s="67" t="n">
        <f aca="false">SUM(G11:G12)/1000</f>
        <v>15216.8442306552</v>
      </c>
      <c r="H25" s="67" t="n">
        <f aca="false">SUM(H11:H12)/1000</f>
        <v>15312.3314845014</v>
      </c>
      <c r="I25" s="67" t="n">
        <f aca="false">SUM(I11:I12)/1000</f>
        <v>15770.6856983315</v>
      </c>
      <c r="J25" s="67" t="n">
        <f aca="false">SUM(J11:J12)/1000</f>
        <v>15004.0867585759</v>
      </c>
      <c r="K25" s="67" t="n">
        <f aca="false">SUM(K11:K12)/1000</f>
        <v>15269.725765257</v>
      </c>
      <c r="L25" s="67" t="n">
        <f aca="false">SUM(L11:L12)/1000</f>
        <v>15151.2557141203</v>
      </c>
      <c r="M25" s="67" t="n">
        <f aca="false">SUM(M11:M12)/1000</f>
        <v>13568.75762991</v>
      </c>
      <c r="N25" s="67" t="n">
        <f aca="false">SUM(N11:N12)/1000</f>
        <v>14135.0445462149</v>
      </c>
      <c r="O25" s="67" t="n">
        <f aca="false">SUM(O11:O12)/1000</f>
        <v>174573.380684209</v>
      </c>
    </row>
    <row r="26" customFormat="false" ht="15.75" hidden="false" customHeight="false" outlineLevel="0" collapsed="false">
      <c r="A26" s="54" t="s">
        <v>144</v>
      </c>
      <c r="B26" s="54" t="s">
        <v>140</v>
      </c>
      <c r="C26" s="67" t="n">
        <f aca="false">SUM(C13:C16)/1000</f>
        <v>33279.5910529374</v>
      </c>
      <c r="D26" s="67" t="n">
        <f aca="false">SUM(D13:D16)/1000</f>
        <v>31433.0537502276</v>
      </c>
      <c r="E26" s="67" t="n">
        <f aca="false">SUM(E13:E16)/1000</f>
        <v>33370.6779718031</v>
      </c>
      <c r="F26" s="67" t="n">
        <f aca="false">SUM(F13:F16)/1000</f>
        <v>36595.3328801034</v>
      </c>
      <c r="G26" s="67" t="n">
        <f aca="false">SUM(G13:G16)/1000</f>
        <v>36304.1741395065</v>
      </c>
      <c r="H26" s="67" t="n">
        <f aca="false">SUM(H13:H16)/1000</f>
        <v>38080.2019075556</v>
      </c>
      <c r="I26" s="67" t="n">
        <f aca="false">SUM(I13:I16)/1000</f>
        <v>39303.9659279123</v>
      </c>
      <c r="J26" s="67" t="n">
        <f aca="false">SUM(J13:J16)/1000</f>
        <v>36263.7345852745</v>
      </c>
      <c r="K26" s="67" t="n">
        <f aca="false">SUM(K13:K16)/1000</f>
        <v>37408.9471269818</v>
      </c>
      <c r="L26" s="67" t="n">
        <f aca="false">SUM(L13:L16)/1000</f>
        <v>37603.4036092722</v>
      </c>
      <c r="M26" s="67" t="n">
        <f aca="false">SUM(M13:M16)/1000</f>
        <v>32317.8378056527</v>
      </c>
      <c r="N26" s="67" t="n">
        <f aca="false">SUM(N13:N16)/1000</f>
        <v>34858.8193868261</v>
      </c>
      <c r="O26" s="67" t="n">
        <f aca="false">SUM(O13:O16)/1000</f>
        <v>426819.740144053</v>
      </c>
    </row>
    <row r="27" customFormat="false" ht="15.75" hidden="false" customHeight="false" outlineLevel="0" collapsed="false">
      <c r="A27" s="54" t="s">
        <v>129</v>
      </c>
      <c r="B27" s="54" t="s">
        <v>140</v>
      </c>
      <c r="C27" s="74" t="n">
        <f aca="false">C17/1000</f>
        <v>927.226163471843</v>
      </c>
      <c r="D27" s="74" t="n">
        <f aca="false">D17/1000</f>
        <v>876.333129135235</v>
      </c>
      <c r="E27" s="74" t="n">
        <f aca="false">E17/1000</f>
        <v>924.329759315937</v>
      </c>
      <c r="F27" s="74" t="n">
        <f aca="false">F17/1000</f>
        <v>1019.62960595172</v>
      </c>
      <c r="G27" s="74" t="n">
        <f aca="false">G17/1000</f>
        <v>1012.07810571949</v>
      </c>
      <c r="H27" s="74" t="n">
        <f aca="false">H17/1000</f>
        <v>1060.358562745</v>
      </c>
      <c r="I27" s="74" t="n">
        <f aca="false">I17/1000</f>
        <v>1095.07848049697</v>
      </c>
      <c r="J27" s="74" t="n">
        <f aca="false">J17/1000</f>
        <v>1010.99041926613</v>
      </c>
      <c r="K27" s="74" t="n">
        <f aca="false">K17/1000</f>
        <v>1041.70690659403</v>
      </c>
      <c r="L27" s="74" t="n">
        <f aca="false">L17/1000</f>
        <v>1047.69968754188</v>
      </c>
      <c r="M27" s="74" t="n">
        <f aca="false">M17/1000</f>
        <v>901.091889961051</v>
      </c>
      <c r="N27" s="74" t="n">
        <f aca="false">N17/1000</f>
        <v>970.720239948051</v>
      </c>
      <c r="O27" s="74" t="n">
        <f aca="false">SUM(C27:N27)</f>
        <v>11887.2429501473</v>
      </c>
    </row>
    <row r="28" customFormat="false" ht="15.75" hidden="false" customHeight="false" outlineLevel="0" collapsed="false">
      <c r="A28" s="75" t="s">
        <v>145</v>
      </c>
      <c r="B28" s="75"/>
      <c r="C28" s="76" t="n">
        <f aca="false">SUM(C21:C27)</f>
        <v>116677.130687531</v>
      </c>
      <c r="D28" s="76" t="n">
        <f aca="false">SUM(D21:D27)</f>
        <v>114099.828732371</v>
      </c>
      <c r="E28" s="76" t="n">
        <f aca="false">SUM(E21:E27)</f>
        <v>117103.520579065</v>
      </c>
      <c r="F28" s="76" t="n">
        <f aca="false">SUM(F21:F27)</f>
        <v>121920.494557967</v>
      </c>
      <c r="G28" s="76" t="n">
        <f aca="false">SUM(G21:G27)</f>
        <v>122277.579043237</v>
      </c>
      <c r="H28" s="76" t="n">
        <f aca="false">SUM(H21:H27)</f>
        <v>124428.348336437</v>
      </c>
      <c r="I28" s="76" t="n">
        <f aca="false">SUM(I21:I27)</f>
        <v>126421.229283849</v>
      </c>
      <c r="J28" s="76" t="n">
        <f aca="false">SUM(J21:J27)</f>
        <v>122125.743992683</v>
      </c>
      <c r="K28" s="76" t="n">
        <f aca="false">SUM(K21:K27)</f>
        <v>123550.551448111</v>
      </c>
      <c r="L28" s="76" t="n">
        <f aca="false">SUM(L21:L27)</f>
        <v>123775.915380402</v>
      </c>
      <c r="M28" s="76" t="n">
        <f aca="false">SUM(M21:M27)</f>
        <v>115636.006676375</v>
      </c>
      <c r="N28" s="76" t="n">
        <f aca="false">SUM(N21:N27)</f>
        <v>119383.42258832</v>
      </c>
      <c r="O28" s="76" t="n">
        <f aca="false">SUM(O21:O27)</f>
        <v>1447399.77130635</v>
      </c>
    </row>
    <row r="30" customFormat="false" ht="15.75" hidden="false" customHeight="false" outlineLevel="0" collapsed="false">
      <c r="A30" s="54" t="s">
        <v>146</v>
      </c>
      <c r="B30" s="54" t="s">
        <v>59</v>
      </c>
      <c r="C30" s="77" t="s">
        <v>76</v>
      </c>
      <c r="D30" s="55" t="s">
        <v>77</v>
      </c>
      <c r="E30" s="55" t="s">
        <v>78</v>
      </c>
      <c r="F30" s="55" t="s">
        <v>79</v>
      </c>
      <c r="G30" s="55" t="s">
        <v>80</v>
      </c>
      <c r="H30" s="55" t="s">
        <v>81</v>
      </c>
      <c r="I30" s="55" t="s">
        <v>82</v>
      </c>
      <c r="J30" s="55" t="s">
        <v>83</v>
      </c>
      <c r="K30" s="55" t="s">
        <v>84</v>
      </c>
      <c r="L30" s="55" t="s">
        <v>85</v>
      </c>
      <c r="M30" s="55" t="s">
        <v>86</v>
      </c>
      <c r="N30" s="55" t="s">
        <v>87</v>
      </c>
      <c r="O30" s="55" t="s">
        <v>138</v>
      </c>
    </row>
    <row r="31" customFormat="false" ht="15.75" hidden="false" customHeight="false" outlineLevel="0" collapsed="false">
      <c r="A31" s="54" t="s">
        <v>147</v>
      </c>
      <c r="B31" s="54" t="s">
        <v>140</v>
      </c>
      <c r="C31" s="67" t="n">
        <f aca="false">SUM(C21:C24)</f>
        <v>68893.754767126</v>
      </c>
      <c r="D31" s="67" t="n">
        <f aca="false">SUM(D21:D24)</f>
        <v>68542.3198699294</v>
      </c>
      <c r="E31" s="67" t="n">
        <f aca="false">SUM(E21:E24)</f>
        <v>69269.7877421806</v>
      </c>
      <c r="F31" s="67" t="n">
        <f aca="false">SUM(F21:F24)</f>
        <v>69524.2890081087</v>
      </c>
      <c r="G31" s="67" t="n">
        <f aca="false">SUM(G21:G24)</f>
        <v>69744.4825673562</v>
      </c>
      <c r="H31" s="67" t="n">
        <f aca="false">SUM(H21:H24)</f>
        <v>69975.4563816349</v>
      </c>
      <c r="I31" s="67" t="n">
        <f aca="false">SUM(I21:I24)</f>
        <v>70251.4991771082</v>
      </c>
      <c r="J31" s="67" t="n">
        <f aca="false">SUM(J21:J24)</f>
        <v>69846.9322295664</v>
      </c>
      <c r="K31" s="67" t="n">
        <f aca="false">SUM(K21:K24)</f>
        <v>69830.1716492778</v>
      </c>
      <c r="L31" s="67" t="n">
        <f aca="false">SUM(L21:L24)</f>
        <v>69973.5563694674</v>
      </c>
      <c r="M31" s="67" t="n">
        <f aca="false">SUM(M21:M24)</f>
        <v>68848.3193508513</v>
      </c>
      <c r="N31" s="67" t="n">
        <f aca="false">SUM(N21:N24)</f>
        <v>69418.838415331</v>
      </c>
      <c r="O31" s="67" t="n">
        <f aca="false">SUM(O21:O24)</f>
        <v>834119.407527938</v>
      </c>
    </row>
    <row r="32" customFormat="false" ht="15.75" hidden="false" customHeight="false" outlineLevel="0" collapsed="false">
      <c r="A32" s="54" t="s">
        <v>148</v>
      </c>
      <c r="B32" s="54" t="s">
        <v>140</v>
      </c>
      <c r="C32" s="67" t="n">
        <f aca="false">SUM(C25:C27)</f>
        <v>47783.3759204053</v>
      </c>
      <c r="D32" s="67" t="n">
        <f aca="false">SUM(D25:D27)</f>
        <v>45557.5088624416</v>
      </c>
      <c r="E32" s="67" t="n">
        <f aca="false">SUM(E25:E27)</f>
        <v>47833.732836884</v>
      </c>
      <c r="F32" s="67" t="n">
        <f aca="false">SUM(F25:F27)</f>
        <v>52396.2055498582</v>
      </c>
      <c r="G32" s="67" t="n">
        <f aca="false">SUM(G25:G27)</f>
        <v>52533.0964758812</v>
      </c>
      <c r="H32" s="67" t="n">
        <f aca="false">SUM(H25:H27)</f>
        <v>54452.891954802</v>
      </c>
      <c r="I32" s="67" t="n">
        <f aca="false">SUM(I25:I27)</f>
        <v>56169.7301067408</v>
      </c>
      <c r="J32" s="67" t="n">
        <f aca="false">SUM(J25:J27)</f>
        <v>52278.8117631165</v>
      </c>
      <c r="K32" s="67" t="n">
        <f aca="false">SUM(K25:K27)</f>
        <v>53720.3797988329</v>
      </c>
      <c r="L32" s="67" t="n">
        <f aca="false">SUM(L25:L27)</f>
        <v>53802.3590109344</v>
      </c>
      <c r="M32" s="67" t="n">
        <f aca="false">SUM(M25:M27)</f>
        <v>46787.6873255237</v>
      </c>
      <c r="N32" s="67" t="n">
        <f aca="false">SUM(N25:N27)</f>
        <v>49964.5841729891</v>
      </c>
      <c r="O32" s="67" t="n">
        <f aca="false">SUM(O25:O27)</f>
        <v>613280.36377841</v>
      </c>
    </row>
    <row r="33" customFormat="false" ht="15.75" hidden="false" customHeight="false" outlineLevel="0" collapsed="false">
      <c r="A33" s="54" t="s">
        <v>147</v>
      </c>
      <c r="B33" s="54" t="s">
        <v>149</v>
      </c>
      <c r="C33" s="78" t="n">
        <f aca="false">C31/C28</f>
        <v>0.590464938254505</v>
      </c>
      <c r="D33" s="78" t="n">
        <f aca="false">D31/D28</f>
        <v>0.600722372955529</v>
      </c>
      <c r="E33" s="78" t="n">
        <f aca="false">E31/E28</f>
        <v>0.591526090758406</v>
      </c>
      <c r="F33" s="78" t="n">
        <f aca="false">F31/F28</f>
        <v>0.570242839484657</v>
      </c>
      <c r="G33" s="78" t="n">
        <f aca="false">G31/G28</f>
        <v>0.570378340110042</v>
      </c>
      <c r="H33" s="78" t="n">
        <f aca="false">H31/H28</f>
        <v>0.562375514239175</v>
      </c>
      <c r="I33" s="78" t="n">
        <f aca="false">I31/I28</f>
        <v>0.555693846477122</v>
      </c>
      <c r="J33" s="78" t="n">
        <f aca="false">J31/J28</f>
        <v>0.571926360045358</v>
      </c>
      <c r="K33" s="78" t="n">
        <f aca="false">K31/K28</f>
        <v>0.565195143451912</v>
      </c>
      <c r="L33" s="78" t="n">
        <f aca="false">L31/L28</f>
        <v>0.565324491072573</v>
      </c>
      <c r="M33" s="78" t="n">
        <f aca="false">M31/M28</f>
        <v>0.595388247395414</v>
      </c>
      <c r="N33" s="78" t="n">
        <f aca="false">N31/N28</f>
        <v>0.581478038661313</v>
      </c>
      <c r="O33" s="78" t="n">
        <f aca="false">O31/$C$28</f>
        <v>7.14895372051754</v>
      </c>
    </row>
    <row r="34" customFormat="false" ht="15.75" hidden="false" customHeight="false" outlineLevel="0" collapsed="false">
      <c r="A34" s="54" t="s">
        <v>148</v>
      </c>
      <c r="B34" s="54" t="s">
        <v>149</v>
      </c>
      <c r="C34" s="78" t="n">
        <f aca="false">C32/C28</f>
        <v>0.409535061745495</v>
      </c>
      <c r="D34" s="78" t="n">
        <f aca="false">D32/D28</f>
        <v>0.399277627044471</v>
      </c>
      <c r="E34" s="78" t="n">
        <f aca="false">E32/E28</f>
        <v>0.408473909241594</v>
      </c>
      <c r="F34" s="78" t="n">
        <f aca="false">F32/F28</f>
        <v>0.429757160515343</v>
      </c>
      <c r="G34" s="78" t="n">
        <f aca="false">G32/G28</f>
        <v>0.429621659889958</v>
      </c>
      <c r="H34" s="78" t="n">
        <f aca="false">H32/H28</f>
        <v>0.437624485760825</v>
      </c>
      <c r="I34" s="78" t="n">
        <f aca="false">I32/I28</f>
        <v>0.444306153522878</v>
      </c>
      <c r="J34" s="78" t="n">
        <f aca="false">J32/J28</f>
        <v>0.428073639954642</v>
      </c>
      <c r="K34" s="78" t="n">
        <f aca="false">K32/K28</f>
        <v>0.434804856548088</v>
      </c>
      <c r="L34" s="78" t="n">
        <f aca="false">L32/L28</f>
        <v>0.434675508927428</v>
      </c>
      <c r="M34" s="78" t="n">
        <f aca="false">M32/M28</f>
        <v>0.404611752604586</v>
      </c>
      <c r="N34" s="78" t="n">
        <f aca="false">N32/N28</f>
        <v>0.418521961338688</v>
      </c>
      <c r="O34" s="78" t="n">
        <f aca="false">O32/$C$28</f>
        <v>5.25621739379942</v>
      </c>
    </row>
    <row r="35" customFormat="false" ht="15.75" hidden="false" customHeight="false" outlineLevel="0" collapsed="false">
      <c r="A35" s="79"/>
      <c r="B35" s="79"/>
      <c r="C35" s="79"/>
      <c r="D35" s="79"/>
      <c r="E35" s="79"/>
      <c r="F35" s="79"/>
      <c r="G35" s="79"/>
      <c r="H35" s="79"/>
      <c r="I35" s="79"/>
      <c r="J35" s="79"/>
      <c r="K35" s="79"/>
      <c r="L35" s="79"/>
      <c r="M35" s="79"/>
      <c r="N35" s="79"/>
      <c r="O35" s="79"/>
      <c r="P35" s="79"/>
      <c r="Q35" s="79"/>
    </row>
    <row r="36" customFormat="false" ht="15.75" hidden="false" customHeight="false" outlineLevel="0" collapsed="false">
      <c r="A36" s="80" t="s">
        <v>150</v>
      </c>
      <c r="B36" s="80"/>
      <c r="C36" s="80"/>
      <c r="D36" s="80"/>
      <c r="E36" s="80"/>
      <c r="F36" s="80"/>
      <c r="G36" s="80"/>
      <c r="H36" s="80"/>
      <c r="I36" s="80"/>
      <c r="J36" s="80"/>
      <c r="K36" s="80"/>
      <c r="L36" s="80"/>
      <c r="M36" s="80"/>
      <c r="N36" s="80"/>
      <c r="O36" s="80"/>
    </row>
    <row r="37" customFormat="false" ht="15.75" hidden="false" customHeight="false" outlineLevel="0" collapsed="false">
      <c r="A37" s="54" t="s">
        <v>62</v>
      </c>
      <c r="B37" s="54" t="s">
        <v>119</v>
      </c>
      <c r="C37" s="77" t="s">
        <v>76</v>
      </c>
      <c r="D37" s="55" t="s">
        <v>77</v>
      </c>
      <c r="E37" s="55" t="s">
        <v>78</v>
      </c>
      <c r="F37" s="55" t="s">
        <v>79</v>
      </c>
      <c r="G37" s="55" t="s">
        <v>80</v>
      </c>
      <c r="H37" s="55" t="s">
        <v>81</v>
      </c>
      <c r="I37" s="55" t="s">
        <v>82</v>
      </c>
      <c r="J37" s="55" t="s">
        <v>83</v>
      </c>
      <c r="K37" s="55" t="s">
        <v>84</v>
      </c>
      <c r="L37" s="55" t="s">
        <v>85</v>
      </c>
      <c r="M37" s="55" t="s">
        <v>86</v>
      </c>
      <c r="N37" s="55" t="s">
        <v>87</v>
      </c>
      <c r="O37" s="55" t="s">
        <v>138</v>
      </c>
    </row>
    <row r="38" customFormat="false" ht="15.75" hidden="false" customHeight="false" outlineLevel="0" collapsed="false">
      <c r="A38" s="81" t="n">
        <v>11140030</v>
      </c>
      <c r="B38" s="81" t="s">
        <v>123</v>
      </c>
      <c r="C38" s="82" t="n">
        <f aca="false">(C3)/($C$31*1000)</f>
        <v>0.0503944286932347</v>
      </c>
      <c r="D38" s="82" t="n">
        <f aca="false">(D3)/(D31*1000)</f>
        <v>0.05004426272172</v>
      </c>
      <c r="E38" s="82" t="n">
        <f aca="false">(E3)/(E31*1000)</f>
        <v>0.0476690798289498</v>
      </c>
      <c r="F38" s="82" t="n">
        <f aca="false">(F3)/(F31*1000)</f>
        <v>0.0484985482008492</v>
      </c>
      <c r="G38" s="82" t="n">
        <f aca="false">(G3)/(G31*1000)</f>
        <v>0.0476967034494744</v>
      </c>
      <c r="H38" s="82" t="n">
        <f aca="false">(H3)/(H31*1000)</f>
        <v>0.0476945861083251</v>
      </c>
      <c r="I38" s="82" t="n">
        <f aca="false">(I3)/(I31*1000)</f>
        <v>0.0477471309827769</v>
      </c>
      <c r="J38" s="82" t="n">
        <f aca="false">(J3)/(J31*1000)</f>
        <v>0.0483513367485192</v>
      </c>
      <c r="K38" s="82" t="n">
        <f aca="false">(K3)/(K31*1000)</f>
        <v>0.0479920794458835</v>
      </c>
      <c r="L38" s="82" t="n">
        <f aca="false">(L3)/(L31*1000)</f>
        <v>0.0486775738331033</v>
      </c>
      <c r="M38" s="82" t="n">
        <f aca="false">(M3)/(M31*1000)</f>
        <v>0.0500943525865212</v>
      </c>
      <c r="N38" s="82" t="n">
        <f aca="false">(N3)/(N31*1000)</f>
        <v>0.050822811545938</v>
      </c>
      <c r="O38" s="83" t="n">
        <f aca="false">AVERAGE(C38:N38)</f>
        <v>0.0488069078454413</v>
      </c>
    </row>
    <row r="39" customFormat="false" ht="15.75" hidden="false" customHeight="false" outlineLevel="0" collapsed="false">
      <c r="A39" s="81" t="str">
        <f aca="false">A11</f>
        <v>12110080</v>
      </c>
      <c r="B39" s="81" t="s">
        <v>151</v>
      </c>
      <c r="C39" s="82" t="n">
        <f aca="false">(C4)/($C$31*1000)</f>
        <v>0.0271552673238386</v>
      </c>
      <c r="D39" s="82" t="n">
        <f aca="false">(D4)/($C$31*1000)</f>
        <v>0.0245372004938642</v>
      </c>
      <c r="E39" s="82" t="n">
        <f aca="false">(E4)/($C$31*1000)</f>
        <v>0.0271657662735046</v>
      </c>
      <c r="F39" s="82" t="n">
        <f aca="false">(F4)/($C$31*1000)</f>
        <v>0.0262963744537998</v>
      </c>
      <c r="G39" s="82" t="n">
        <f aca="false">(G4)/($C$31*1000)</f>
        <v>0.0271620097205014</v>
      </c>
      <c r="H39" s="82" t="n">
        <f aca="false">(H4)/($C$31*1000)</f>
        <v>0.026283352155099</v>
      </c>
      <c r="I39" s="82" t="n">
        <f aca="false">(I4)/($C$31*1000)</f>
        <v>0.0271699579991385</v>
      </c>
      <c r="J39" s="82" t="n">
        <f aca="false">(J4)/($C$31*1000)</f>
        <v>0.0271667644693979</v>
      </c>
      <c r="K39" s="82" t="n">
        <f aca="false">(K4)/($C$31*1000)</f>
        <v>0.0262841559158862</v>
      </c>
      <c r="L39" s="82" t="n">
        <f aca="false">(L4)/($C$31*1000)</f>
        <v>0.0271602646761066</v>
      </c>
      <c r="M39" s="82" t="n">
        <f aca="false">(M4)/($C$31*1000)</f>
        <v>0.0262850355059546</v>
      </c>
      <c r="N39" s="82" t="n">
        <f aca="false">(N4)/($C$31*1000)</f>
        <v>0.027173326913904</v>
      </c>
      <c r="O39" s="83" t="n">
        <f aca="false">AVERAGE(C39:N39)</f>
        <v>0.0266532896584163</v>
      </c>
    </row>
    <row r="40" customFormat="false" ht="15.75" hidden="false" customHeight="false" outlineLevel="0" collapsed="false">
      <c r="A40" s="81" t="n">
        <f aca="false">A12</f>
        <v>12111080</v>
      </c>
      <c r="B40" s="81" t="s">
        <v>125</v>
      </c>
      <c r="C40" s="82" t="n">
        <f aca="false">(C5)/($C$31*1000)</f>
        <v>0.0150973870611926</v>
      </c>
      <c r="D40" s="82" t="n">
        <f aca="false">(D5)/($C$31*1000)</f>
        <v>0.0150973870611926</v>
      </c>
      <c r="E40" s="82" t="n">
        <f aca="false">(E5)/($C$31*1000)</f>
        <v>0.0150973870611926</v>
      </c>
      <c r="F40" s="82" t="n">
        <f aca="false">(F5)/($C$31*1000)</f>
        <v>0.0150973870611926</v>
      </c>
      <c r="G40" s="82" t="n">
        <f aca="false">(G5)/($C$31*1000)</f>
        <v>0.0150973870611926</v>
      </c>
      <c r="H40" s="82" t="n">
        <f aca="false">(H5)/($C$31*1000)</f>
        <v>0.0150973870611926</v>
      </c>
      <c r="I40" s="82" t="n">
        <f aca="false">(I5)/($C$31*1000)</f>
        <v>0.0150973870611926</v>
      </c>
      <c r="J40" s="82" t="n">
        <f aca="false">(J5)/($C$31*1000)</f>
        <v>0.0150973870611926</v>
      </c>
      <c r="K40" s="82" t="n">
        <f aca="false">(K5)/($C$31*1000)</f>
        <v>0.0150973870611926</v>
      </c>
      <c r="L40" s="82" t="n">
        <f aca="false">(L5)/($C$31*1000)</f>
        <v>0.0150973870611926</v>
      </c>
      <c r="M40" s="82" t="n">
        <f aca="false">(M5)/($C$31*1000)</f>
        <v>0.0150973870611926</v>
      </c>
      <c r="N40" s="82" t="n">
        <f aca="false">(N5)/($C$31*1000)</f>
        <v>0.0150973870611926</v>
      </c>
      <c r="O40" s="83" t="n">
        <f aca="false">AVERAGE(C40:N40)</f>
        <v>0.0150973870611926</v>
      </c>
    </row>
    <row r="41" customFormat="false" ht="15.75" hidden="false" customHeight="false" outlineLevel="0" collapsed="false">
      <c r="A41" s="81" t="n">
        <f aca="false">A13</f>
        <v>12133040</v>
      </c>
      <c r="B41" s="81" t="s">
        <v>126</v>
      </c>
      <c r="C41" s="82" t="n">
        <f aca="false">(C6)/($C$31*1000)</f>
        <v>0.369092094573042</v>
      </c>
      <c r="D41" s="82" t="n">
        <f aca="false">(D6)/($C$31*1000)</f>
        <v>0.369092094573042</v>
      </c>
      <c r="E41" s="82" t="n">
        <f aca="false">(E6)/($C$31*1000)</f>
        <v>0.369092094573042</v>
      </c>
      <c r="F41" s="82" t="n">
        <f aca="false">(F6)/($C$31*1000)</f>
        <v>0.369092094573042</v>
      </c>
      <c r="G41" s="82" t="n">
        <f aca="false">(G6)/($C$31*1000)</f>
        <v>0.369092094573042</v>
      </c>
      <c r="H41" s="82" t="n">
        <f aca="false">(H6)/($C$31*1000)</f>
        <v>0.369092094573042</v>
      </c>
      <c r="I41" s="82" t="n">
        <f aca="false">(I6)/($C$31*1000)</f>
        <v>0.369092094573042</v>
      </c>
      <c r="J41" s="82" t="n">
        <f aca="false">(J6)/($C$31*1000)</f>
        <v>0.369092094573042</v>
      </c>
      <c r="K41" s="82" t="n">
        <f aca="false">(K6)/($C$31*1000)</f>
        <v>0.369092094573042</v>
      </c>
      <c r="L41" s="82" t="n">
        <f aca="false">(L6)/($C$31*1000)</f>
        <v>0.369092094573042</v>
      </c>
      <c r="M41" s="82" t="n">
        <f aca="false">(M6)/($C$31*1000)</f>
        <v>0.369092094573042</v>
      </c>
      <c r="N41" s="82" t="n">
        <f aca="false">(N6)/($C$31*1000)</f>
        <v>0.369092094573042</v>
      </c>
      <c r="O41" s="83" t="n">
        <f aca="false">AVERAGE(C41:N41)</f>
        <v>0.369092094573042</v>
      </c>
    </row>
    <row r="42" customFormat="false" ht="15.75" hidden="false" customHeight="false" outlineLevel="0" collapsed="false">
      <c r="A42" s="81" t="n">
        <f aca="false">A14</f>
        <v>12135040</v>
      </c>
      <c r="B42" s="81" t="s">
        <v>127</v>
      </c>
      <c r="C42" s="82" t="n">
        <f aca="false">(C7)/($C$31*1000)</f>
        <v>0.404916720598182</v>
      </c>
      <c r="D42" s="82" t="n">
        <f aca="false">(D7)/($C$31*1000)</f>
        <v>0.404916720598182</v>
      </c>
      <c r="E42" s="82" t="n">
        <f aca="false">(E7)/($C$31*1000)</f>
        <v>0.404916720598182</v>
      </c>
      <c r="F42" s="82" t="n">
        <f aca="false">(F7)/($C$31*1000)</f>
        <v>0.404916720598182</v>
      </c>
      <c r="G42" s="82" t="n">
        <f aca="false">(G7)/($C$31*1000)</f>
        <v>0.404916720598182</v>
      </c>
      <c r="H42" s="82" t="n">
        <f aca="false">(H7)/($C$31*1000)</f>
        <v>0.404916720598182</v>
      </c>
      <c r="I42" s="82" t="n">
        <f aca="false">(I7)/($C$31*1000)</f>
        <v>0.404916720598182</v>
      </c>
      <c r="J42" s="82" t="n">
        <f aca="false">(J7)/($C$31*1000)</f>
        <v>0.404916720598182</v>
      </c>
      <c r="K42" s="82" t="n">
        <f aca="false">(K7)/($C$31*1000)</f>
        <v>0.404916720598182</v>
      </c>
      <c r="L42" s="82" t="n">
        <f aca="false">(L7)/($C$31*1000)</f>
        <v>0.404916720598182</v>
      </c>
      <c r="M42" s="82" t="n">
        <f aca="false">(M7)/($C$31*1000)</f>
        <v>0.404916720598182</v>
      </c>
      <c r="N42" s="82" t="n">
        <f aca="false">(N7)/($C$31*1000)</f>
        <v>0.404916720598182</v>
      </c>
      <c r="O42" s="83" t="n">
        <f aca="false">AVERAGE(C42:N42)</f>
        <v>0.404916720598182</v>
      </c>
    </row>
    <row r="43" customFormat="false" ht="15.75" hidden="false" customHeight="false" outlineLevel="0" collapsed="false">
      <c r="A43" s="81" t="n">
        <f aca="false">A16</f>
        <v>12138040</v>
      </c>
      <c r="B43" s="81" t="s">
        <v>105</v>
      </c>
      <c r="C43" s="82" t="n">
        <f aca="false">(C8)/($C$31*1000)</f>
        <v>0.0033384738686031</v>
      </c>
      <c r="D43" s="82" t="n">
        <f aca="false">(D8)/($C$31*1000)</f>
        <v>0.00304817179307239</v>
      </c>
      <c r="E43" s="82" t="n">
        <f aca="false">(E8)/($C$31*1000)</f>
        <v>0.0033384738686031</v>
      </c>
      <c r="F43" s="82" t="n">
        <f aca="false">(F8)/($C$31*1000)</f>
        <v>0.00326589834972042</v>
      </c>
      <c r="G43" s="82" t="n">
        <f aca="false">(G8)/($C$31*1000)</f>
        <v>0.00304817179307239</v>
      </c>
      <c r="H43" s="82" t="n">
        <f aca="false">(H8)/($C$31*1000)</f>
        <v>0.0033384738686031</v>
      </c>
      <c r="I43" s="82" t="n">
        <f aca="false">(I8)/($C$31*1000)</f>
        <v>0.00326589834972042</v>
      </c>
      <c r="J43" s="82" t="n">
        <f aca="false">(J8)/($C$31*1000)</f>
        <v>0.0033384738686031</v>
      </c>
      <c r="K43" s="82" t="n">
        <f aca="false">(K8)/($C$31*1000)</f>
        <v>0.0033384738686031</v>
      </c>
      <c r="L43" s="82" t="n">
        <f aca="false">(L8)/($C$31*1000)</f>
        <v>0.0033384738686031</v>
      </c>
      <c r="M43" s="82" t="n">
        <f aca="false">(M8)/($C$31*1000)</f>
        <v>0.00326589834972042</v>
      </c>
      <c r="N43" s="82" t="n">
        <f aca="false">(N8)/($C$31*1000)</f>
        <v>0.0033384738686031</v>
      </c>
      <c r="O43" s="83" t="n">
        <f aca="false">AVERAGE(C43:N43)</f>
        <v>0.00327194630962731</v>
      </c>
    </row>
    <row r="44" customFormat="false" ht="15.75" hidden="false" customHeight="false" outlineLevel="0" collapsed="false">
      <c r="A44" s="81" t="str">
        <f aca="false">A17</f>
        <v>12420080</v>
      </c>
      <c r="B44" s="81" t="s">
        <v>106</v>
      </c>
      <c r="C44" s="82" t="n">
        <f aca="false">(C9)/($C$31*1000)</f>
        <v>0</v>
      </c>
      <c r="D44" s="82" t="n">
        <f aca="false">(D9)/($C$31*1000)</f>
        <v>0</v>
      </c>
      <c r="E44" s="82" t="n">
        <f aca="false">(E9)/($C$31*1000)</f>
        <v>0</v>
      </c>
      <c r="F44" s="82" t="n">
        <f aca="false">(F9)/($C$31*1000)</f>
        <v>0</v>
      </c>
      <c r="G44" s="82" t="n">
        <f aca="false">(G9)/($C$31*1000)</f>
        <v>0</v>
      </c>
      <c r="H44" s="82" t="n">
        <f aca="false">(H9)/($C$31*1000)</f>
        <v>0</v>
      </c>
      <c r="I44" s="82" t="n">
        <f aca="false">(I9)/($C$31*1000)</f>
        <v>0</v>
      </c>
      <c r="J44" s="82" t="n">
        <f aca="false">(J9)/($C$31*1000)</f>
        <v>0</v>
      </c>
      <c r="K44" s="82" t="n">
        <f aca="false">(K9)/($C$31*1000)</f>
        <v>0</v>
      </c>
      <c r="L44" s="82" t="n">
        <f aca="false">(L9)/($C$31*1000)</f>
        <v>0</v>
      </c>
      <c r="M44" s="82" t="n">
        <f aca="false">(M9)/($C$31*1000)</f>
        <v>0</v>
      </c>
      <c r="N44" s="82" t="n">
        <f aca="false">(N9)/($C$31*1000)</f>
        <v>0</v>
      </c>
      <c r="O44" s="83" t="n">
        <f aca="false">AVERAGE(C44:N44)</f>
        <v>0</v>
      </c>
    </row>
    <row r="45" customFormat="false" ht="15.75" hidden="false" customHeight="false" outlineLevel="0" collapsed="false">
      <c r="A45" s="81" t="n">
        <f aca="false">A18</f>
        <v>0</v>
      </c>
      <c r="B45" s="81" t="s">
        <v>107</v>
      </c>
      <c r="C45" s="82" t="n">
        <f aca="false">(C10)/($C$31*1000)</f>
        <v>0.130005627881907</v>
      </c>
      <c r="D45" s="82" t="n">
        <f aca="false">(D10)/($C$31*1000)</f>
        <v>0.128418330244788</v>
      </c>
      <c r="E45" s="82" t="n">
        <f aca="false">(E10)/($C$31*1000)</f>
        <v>0.137918450099806</v>
      </c>
      <c r="F45" s="82" t="n">
        <f aca="false">(F10)/($C$31*1000)</f>
        <v>0.141541374900784</v>
      </c>
      <c r="G45" s="82" t="n">
        <f aca="false">(G10)/($C$31*1000)</f>
        <v>0.144746337027601</v>
      </c>
      <c r="H45" s="82" t="n">
        <f aca="false">(H10)/($C$31*1000)</f>
        <v>0.148529543595218</v>
      </c>
      <c r="I45" s="82" t="n">
        <f aca="false">(I10)/($C$31*1000)</f>
        <v>0.151477620492506</v>
      </c>
      <c r="J45" s="82" t="n">
        <f aca="false">(J10)/($C$31*1000)</f>
        <v>0.145203729007203</v>
      </c>
      <c r="K45" s="82" t="n">
        <f aca="false">(K10)/($C$31*1000)</f>
        <v>0.146218959382725</v>
      </c>
      <c r="L45" s="82" t="n">
        <f aca="false">(L10)/($C$31*1000)</f>
        <v>0.146627973047043</v>
      </c>
      <c r="M45" s="82" t="n">
        <f aca="false">(M10)/($C$31*1000)</f>
        <v>0.130622048757658</v>
      </c>
      <c r="N45" s="82" t="n">
        <f aca="false">(N10)/($C$31*1000)</f>
        <v>0.136793475725553</v>
      </c>
      <c r="O45" s="83" t="n">
        <f aca="false">AVERAGE(C45:N45)</f>
        <v>0.140675289180233</v>
      </c>
    </row>
    <row r="46" customFormat="false" ht="15.75" hidden="false" customHeight="false" outlineLevel="0" collapsed="false">
      <c r="A46" s="54" t="n">
        <f aca="false">A19</f>
        <v>0</v>
      </c>
      <c r="B46" s="54" t="s">
        <v>108</v>
      </c>
      <c r="C46" s="84" t="n">
        <f aca="false">(C11)/($C$32*1000)</f>
        <v>0</v>
      </c>
      <c r="D46" s="84" t="n">
        <f aca="false">(D11)/($C$32*1000)</f>
        <v>0</v>
      </c>
      <c r="E46" s="84" t="n">
        <f aca="false">(E11)/($C$32*1000)</f>
        <v>0</v>
      </c>
      <c r="F46" s="84" t="n">
        <f aca="false">(F11)/($C$32*1000)</f>
        <v>0</v>
      </c>
      <c r="G46" s="84" t="n">
        <f aca="false">(G11)/($C$32*1000)</f>
        <v>0</v>
      </c>
      <c r="H46" s="84" t="n">
        <f aca="false">(H11)/($C$32*1000)</f>
        <v>0</v>
      </c>
      <c r="I46" s="84" t="n">
        <f aca="false">(I11)/($C$32*1000)</f>
        <v>0</v>
      </c>
      <c r="J46" s="84" t="n">
        <f aca="false">(J11)/($C$32*1000)</f>
        <v>0</v>
      </c>
      <c r="K46" s="84" t="n">
        <f aca="false">(K11)/($C$32*1000)</f>
        <v>0</v>
      </c>
      <c r="L46" s="84" t="n">
        <f aca="false">(L11)/($C$32*1000)</f>
        <v>0</v>
      </c>
      <c r="M46" s="84" t="n">
        <f aca="false">(M11)/($C$32*1000)</f>
        <v>0</v>
      </c>
      <c r="N46" s="84" t="n">
        <f aca="false">(N11)/($C$32*1000)</f>
        <v>0</v>
      </c>
      <c r="O46" s="15" t="n">
        <f aca="false">AVERAGE(C46:N46)</f>
        <v>0</v>
      </c>
    </row>
    <row r="47" customFormat="false" ht="15.75" hidden="false" customHeight="false" outlineLevel="0" collapsed="false">
      <c r="A47" s="54" t="str">
        <f aca="false">A20</f>
        <v>Área</v>
      </c>
      <c r="B47" s="54" t="s">
        <v>109</v>
      </c>
      <c r="C47" s="84" t="n">
        <f aca="false">(C12)/($C$32*1000)</f>
        <v>0.284127239703847</v>
      </c>
      <c r="D47" s="84" t="n">
        <f aca="false">(D12)/($C$32*1000)</f>
        <v>0.277253788119674</v>
      </c>
      <c r="E47" s="84" t="n">
        <f aca="false">(E12)/($C$32*1000)</f>
        <v>0.283335466466768</v>
      </c>
      <c r="F47" s="84" t="n">
        <f aca="false">(F12)/($C$32*1000)</f>
        <v>0.309338609486796</v>
      </c>
      <c r="G47" s="84" t="n">
        <f aca="false">(G12)/($C$32*1000)</f>
        <v>0.318454775066595</v>
      </c>
      <c r="H47" s="84" t="n">
        <f aca="false">(H12)/($C$32*1000)</f>
        <v>0.320453111350018</v>
      </c>
      <c r="I47" s="84" t="n">
        <f aca="false">(I12)/($C$32*1000)</f>
        <v>0.330045447701339</v>
      </c>
      <c r="J47" s="84" t="n">
        <f aca="false">(J12)/($C$32*1000)</f>
        <v>0.3140022334037</v>
      </c>
      <c r="K47" s="84" t="n">
        <f aca="false">(K12)/($C$32*1000)</f>
        <v>0.319561468212134</v>
      </c>
      <c r="L47" s="84" t="n">
        <f aca="false">(L12)/($C$32*1000)</f>
        <v>0.317082152993089</v>
      </c>
      <c r="M47" s="84" t="n">
        <f aca="false">(M12)/($C$32*1000)</f>
        <v>0.283963980538169</v>
      </c>
      <c r="N47" s="84" t="n">
        <f aca="false">(N12)/($C$32*1000)</f>
        <v>0.295815108789304</v>
      </c>
      <c r="O47" s="15" t="n">
        <f aca="false">AVERAGE(C47:N47)</f>
        <v>0.304452781819286</v>
      </c>
    </row>
    <row r="48" customFormat="false" ht="15.75" hidden="false" customHeight="false" outlineLevel="0" collapsed="false">
      <c r="A48" s="54" t="str">
        <f aca="false">A21</f>
        <v>Filtragem Germano</v>
      </c>
      <c r="B48" s="54" t="s">
        <v>110</v>
      </c>
      <c r="C48" s="84" t="n">
        <f aca="false">(C13)/($C$32*1000)</f>
        <v>0</v>
      </c>
      <c r="D48" s="84" t="n">
        <f aca="false">(D13)/($C$32*1000)</f>
        <v>0</v>
      </c>
      <c r="E48" s="84" t="n">
        <f aca="false">(E13)/($C$32*1000)</f>
        <v>0</v>
      </c>
      <c r="F48" s="84" t="n">
        <f aca="false">(F13)/($C$32*1000)</f>
        <v>0</v>
      </c>
      <c r="G48" s="84" t="n">
        <f aca="false">(G13)/($C$32*1000)</f>
        <v>0</v>
      </c>
      <c r="H48" s="84" t="n">
        <f aca="false">(H13)/($C$32*1000)</f>
        <v>0</v>
      </c>
      <c r="I48" s="84" t="n">
        <f aca="false">(I13)/($C$32*1000)</f>
        <v>0</v>
      </c>
      <c r="J48" s="84" t="n">
        <f aca="false">(J13)/($C$32*1000)</f>
        <v>0</v>
      </c>
      <c r="K48" s="84" t="n">
        <f aca="false">(K13)/($C$32*1000)</f>
        <v>0</v>
      </c>
      <c r="L48" s="84" t="n">
        <f aca="false">(L13)/($C$32*1000)</f>
        <v>0</v>
      </c>
      <c r="M48" s="84" t="n">
        <f aca="false">(M13)/($C$32*1000)</f>
        <v>0</v>
      </c>
      <c r="N48" s="84" t="n">
        <f aca="false">(N13)/($C$32*1000)</f>
        <v>0</v>
      </c>
      <c r="O48" s="15" t="n">
        <f aca="false">AVERAGE(C48:N48)</f>
        <v>0</v>
      </c>
    </row>
    <row r="49" customFormat="false" ht="15.75" hidden="false" customHeight="false" outlineLevel="0" collapsed="false">
      <c r="A49" s="54" t="str">
        <f aca="false">A22</f>
        <v>Mineração</v>
      </c>
      <c r="B49" s="54" t="s">
        <v>111</v>
      </c>
      <c r="C49" s="84" t="n">
        <f aca="false">(C14)/($C$32*1000)</f>
        <v>0</v>
      </c>
      <c r="D49" s="84" t="n">
        <f aca="false">(D14)/($C$32*1000)</f>
        <v>0</v>
      </c>
      <c r="E49" s="84" t="n">
        <f aca="false">(E14)/($C$32*1000)</f>
        <v>0</v>
      </c>
      <c r="F49" s="84" t="n">
        <f aca="false">(F14)/($C$32*1000)</f>
        <v>0</v>
      </c>
      <c r="G49" s="84" t="n">
        <f aca="false">(G14)/($C$32*1000)</f>
        <v>0</v>
      </c>
      <c r="H49" s="84" t="n">
        <f aca="false">(H14)/($C$32*1000)</f>
        <v>0</v>
      </c>
      <c r="I49" s="84" t="n">
        <f aca="false">(I14)/($C$32*1000)</f>
        <v>0</v>
      </c>
      <c r="J49" s="84" t="n">
        <f aca="false">(J14)/($C$32*1000)</f>
        <v>0</v>
      </c>
      <c r="K49" s="84" t="n">
        <f aca="false">(K14)/($C$32*1000)</f>
        <v>0</v>
      </c>
      <c r="L49" s="84" t="n">
        <f aca="false">(L14)/($C$32*1000)</f>
        <v>0</v>
      </c>
      <c r="M49" s="84" t="n">
        <f aca="false">(M14)/($C$32*1000)</f>
        <v>0</v>
      </c>
      <c r="N49" s="84" t="n">
        <f aca="false">(N14)/($C$32*1000)</f>
        <v>0</v>
      </c>
      <c r="O49" s="15" t="n">
        <f aca="false">AVERAGE(C49:N49)</f>
        <v>0</v>
      </c>
    </row>
    <row r="50" customFormat="false" ht="15.75" hidden="false" customHeight="false" outlineLevel="0" collapsed="false">
      <c r="A50" s="54" t="str">
        <f aca="false">A23</f>
        <v>Concentração</v>
      </c>
      <c r="B50" s="54" t="s">
        <v>112</v>
      </c>
      <c r="C50" s="84" t="n">
        <f aca="false">(C15)/($C$32*1000)</f>
        <v>0.297342057016844</v>
      </c>
      <c r="D50" s="84" t="n">
        <f aca="false">(D15)/($C$32*1000)</f>
        <v>0.286642208343591</v>
      </c>
      <c r="E50" s="84" t="n">
        <f aca="false">(E15)/($C$32*1000)</f>
        <v>0.241345377432511</v>
      </c>
      <c r="F50" s="84" t="n">
        <f aca="false">(F15)/($C$32*1000)</f>
        <v>0.32718894654406</v>
      </c>
      <c r="G50" s="84" t="n">
        <f aca="false">(G15)/($C$32*1000)</f>
        <v>0.330448975298821</v>
      </c>
      <c r="H50" s="84" t="n">
        <f aca="false">(H15)/($C$32*1000)</f>
        <v>0.333743896772403</v>
      </c>
      <c r="I50" s="84" t="n">
        <f aca="false">(I15)/($C$32*1000)</f>
        <v>0.351198770210448</v>
      </c>
      <c r="J50" s="84" t="n">
        <f aca="false">(J15)/($C$32*1000)</f>
        <v>0.330495672103277</v>
      </c>
      <c r="K50" s="84" t="n">
        <f aca="false">(K15)/($C$32*1000)</f>
        <v>0.32827592981935</v>
      </c>
      <c r="L50" s="84" t="n">
        <f aca="false">(L15)/($C$32*1000)</f>
        <v>0.336023352693872</v>
      </c>
      <c r="M50" s="84" t="n">
        <f aca="false">(M15)/($C$32*1000)</f>
        <v>0.295667813053241</v>
      </c>
      <c r="N50" s="84" t="n">
        <f aca="false">(N15)/($C$32*1000)</f>
        <v>0.306162978175292</v>
      </c>
      <c r="O50" s="15" t="n">
        <f aca="false">AVERAGE(C50:N50)</f>
        <v>0.313711331455309</v>
      </c>
    </row>
    <row r="51" customFormat="false" ht="15.75" hidden="false" customHeight="false" outlineLevel="0" collapsed="false">
      <c r="A51" s="54" t="str">
        <f aca="false">A24</f>
        <v>Mineroduto</v>
      </c>
      <c r="B51" s="54" t="s">
        <v>113</v>
      </c>
      <c r="C51" s="84" t="n">
        <f aca="false">(C16)/($C$32*1000)</f>
        <v>0.399125917710865</v>
      </c>
      <c r="D51" s="84" t="n">
        <f aca="false">(D16)/($C$32*1000)</f>
        <v>0.371181839136581</v>
      </c>
      <c r="E51" s="84" t="n">
        <f aca="false">(E16)/($C$32*1000)</f>
        <v>0.45702884433428</v>
      </c>
      <c r="F51" s="84" t="n">
        <f aca="false">(F16)/($C$32*1000)</f>
        <v>0.438670145142174</v>
      </c>
      <c r="G51" s="84" t="n">
        <f aca="false">(G16)/($C$32*1000)</f>
        <v>0.429316810190673</v>
      </c>
      <c r="H51" s="84" t="n">
        <f aca="false">(H16)/($C$32*1000)</f>
        <v>0.463190207904239</v>
      </c>
      <c r="I51" s="84" t="n">
        <f aca="false">(I16)/($C$32*1000)</f>
        <v>0.471345999196019</v>
      </c>
      <c r="J51" s="84" t="n">
        <f aca="false">(J16)/($C$32*1000)</f>
        <v>0.428423803274112</v>
      </c>
      <c r="K51" s="84" t="n">
        <f aca="false">(K16)/($C$32*1000)</f>
        <v>0.454610302189361</v>
      </c>
      <c r="L51" s="84" t="n">
        <f aca="false">(L16)/($C$32*1000)</f>
        <v>0.450932421881573</v>
      </c>
      <c r="M51" s="84" t="n">
        <f aca="false">(M16)/($C$32*1000)</f>
        <v>0.380672800876713</v>
      </c>
      <c r="N51" s="84" t="n">
        <f aca="false">(N16)/($C$32*1000)</f>
        <v>0.42335474039051</v>
      </c>
      <c r="O51" s="15" t="n">
        <f aca="false">AVERAGE(C51:N51)</f>
        <v>0.430654486018925</v>
      </c>
    </row>
    <row r="52" customFormat="false" ht="15.75" hidden="false" customHeight="false" outlineLevel="0" collapsed="false">
      <c r="A52" s="54" t="str">
        <f aca="false">A25</f>
        <v>Preparação</v>
      </c>
      <c r="B52" s="54" t="s">
        <v>129</v>
      </c>
      <c r="C52" s="84" t="n">
        <f aca="false">(C17)/($C$32*1000)</f>
        <v>0.0194047855684446</v>
      </c>
      <c r="D52" s="84" t="n">
        <f aca="false">(D17)/($C$32*1000)</f>
        <v>0.0183397073198633</v>
      </c>
      <c r="E52" s="84" t="n">
        <f aca="false">(E17)/($C$32*1000)</f>
        <v>0.0193441702582009</v>
      </c>
      <c r="F52" s="84" t="n">
        <f aca="false">(F17)/($C$32*1000)</f>
        <v>0.0213385845246715</v>
      </c>
      <c r="G52" s="84" t="n">
        <f aca="false">(G17)/($C$32*1000)</f>
        <v>0.02118054838581</v>
      </c>
      <c r="H52" s="84" t="n">
        <f aca="false">(H17)/($C$32*1000)</f>
        <v>0.022190951190039</v>
      </c>
      <c r="I52" s="84" t="n">
        <f aca="false">(I17)/($C$32*1000)</f>
        <v>0.0229175620056876</v>
      </c>
      <c r="J52" s="84" t="n">
        <f aca="false">(J17)/($C$32*1000)</f>
        <v>0.0211577855225251</v>
      </c>
      <c r="K52" s="84" t="n">
        <f aca="false">(K17)/($C$32*1000)</f>
        <v>0.0218006134252475</v>
      </c>
      <c r="L52" s="84" t="n">
        <f aca="false">(L17)/($C$32*1000)</f>
        <v>0.0219260290291559</v>
      </c>
      <c r="M52" s="84" t="n">
        <f aca="false">(M17)/($C$32*1000)</f>
        <v>0.0188578532304213</v>
      </c>
      <c r="N52" s="84" t="n">
        <f aca="false">(N17)/($C$32*1000)</f>
        <v>0.02031502005143</v>
      </c>
      <c r="O52" s="15" t="n">
        <f aca="false">AVERAGE(C52:N52)</f>
        <v>0.0207311342092914</v>
      </c>
    </row>
  </sheetData>
  <mergeCells count="2">
    <mergeCell ref="C1:O1"/>
    <mergeCell ref="A36:O36"/>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6"/>
  <sheetViews>
    <sheetView showFormulas="false" showGridLines="true" showRowColHeaders="true" showZeros="true" rightToLeft="false" tabSelected="false" showOutlineSymbols="true" defaultGridColor="true" view="normal" topLeftCell="A1" colorId="64" zoomScale="170" zoomScaleNormal="170" zoomScalePageLayoutView="100" workbookViewId="0">
      <selection pane="topLeft" activeCell="M6" activeCellId="0" sqref="M6"/>
    </sheetView>
  </sheetViews>
  <sheetFormatPr defaultColWidth="11" defaultRowHeight="15.75" zeroHeight="false" outlineLevelRow="0" outlineLevelCol="0"/>
  <cols>
    <col collapsed="false" customWidth="true" hidden="false" outlineLevel="0" max="1" min="1" style="0" width="28.5"/>
    <col collapsed="false" customWidth="true" hidden="false" outlineLevel="0" max="13" min="2" style="0" width="5.88"/>
  </cols>
  <sheetData>
    <row r="1" customFormat="false" ht="17.35" hidden="false" customHeight="false" outlineLevel="0" collapsed="false">
      <c r="A1" s="85" t="s">
        <v>152</v>
      </c>
      <c r="B1" s="86" t="s">
        <v>76</v>
      </c>
      <c r="C1" s="86" t="s">
        <v>77</v>
      </c>
      <c r="D1" s="86" t="s">
        <v>78</v>
      </c>
      <c r="E1" s="86" t="s">
        <v>79</v>
      </c>
      <c r="F1" s="86" t="s">
        <v>80</v>
      </c>
      <c r="G1" s="86" t="s">
        <v>81</v>
      </c>
      <c r="H1" s="86" t="s">
        <v>82</v>
      </c>
      <c r="I1" s="86" t="s">
        <v>83</v>
      </c>
      <c r="J1" s="86" t="s">
        <v>84</v>
      </c>
      <c r="K1" s="86" t="s">
        <v>85</v>
      </c>
      <c r="L1" s="86" t="s">
        <v>86</v>
      </c>
      <c r="M1" s="86" t="s">
        <v>87</v>
      </c>
    </row>
    <row r="2" customFormat="false" ht="15.75" hidden="false" customHeight="false" outlineLevel="0" collapsed="false">
      <c r="A2" s="56" t="s">
        <v>153</v>
      </c>
      <c r="B2" s="87" t="n">
        <v>23979.1671</v>
      </c>
      <c r="C2" s="87" t="n">
        <v>21368.45235</v>
      </c>
      <c r="D2" s="87" t="n">
        <v>24144.72795</v>
      </c>
      <c r="E2" s="87" t="n">
        <v>24559.14825</v>
      </c>
      <c r="F2" s="87" t="n">
        <v>24972.53325</v>
      </c>
      <c r="G2" s="87" t="n">
        <v>18891.6525</v>
      </c>
      <c r="H2" s="87" t="n">
        <v>16420.194</v>
      </c>
      <c r="I2" s="87" t="n">
        <v>15320.57205</v>
      </c>
      <c r="J2" s="87" t="n">
        <v>15407.4585</v>
      </c>
      <c r="K2" s="87" t="n">
        <v>16528.92045</v>
      </c>
      <c r="L2" s="87" t="n">
        <v>17382.7122</v>
      </c>
      <c r="M2" s="87" t="n">
        <v>21189.3402</v>
      </c>
    </row>
    <row r="3" customFormat="false" ht="15.75" hidden="false" customHeight="false" outlineLevel="0" collapsed="false">
      <c r="A3" s="56" t="s">
        <v>154</v>
      </c>
      <c r="B3" s="87" t="n">
        <v>13943</v>
      </c>
      <c r="C3" s="87" t="n">
        <v>12192</v>
      </c>
      <c r="D3" s="87" t="n">
        <v>13483</v>
      </c>
      <c r="E3" s="87" t="n">
        <v>9537</v>
      </c>
      <c r="F3" s="87" t="n">
        <v>9350</v>
      </c>
      <c r="G3" s="87" t="n">
        <v>6545</v>
      </c>
      <c r="H3" s="87" t="n">
        <v>5891</v>
      </c>
      <c r="I3" s="87" t="n">
        <v>5830</v>
      </c>
      <c r="J3" s="87" t="n">
        <v>4930</v>
      </c>
      <c r="K3" s="87" t="n">
        <v>5800</v>
      </c>
      <c r="L3" s="87" t="n">
        <v>10753</v>
      </c>
      <c r="M3" s="87" t="n">
        <v>13750</v>
      </c>
    </row>
    <row r="5" customFormat="false" ht="15.75" hidden="false" customHeight="true" outlineLevel="0" collapsed="false">
      <c r="A5" s="51" t="s">
        <v>117</v>
      </c>
      <c r="B5" s="51"/>
      <c r="C5" s="51"/>
      <c r="D5" s="51"/>
      <c r="E5" s="51"/>
      <c r="F5" s="51"/>
    </row>
    <row r="6" customFormat="false" ht="15.75" hidden="false" customHeight="false" outlineLevel="0" collapsed="false">
      <c r="A6" s="51"/>
      <c r="B6" s="51"/>
      <c r="C6" s="51"/>
      <c r="D6" s="51"/>
      <c r="E6" s="51"/>
      <c r="F6" s="51"/>
    </row>
  </sheetData>
  <mergeCells count="1">
    <mergeCell ref="A5:F6"/>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20"/>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O20" activeCellId="0" sqref="O20"/>
    </sheetView>
  </sheetViews>
  <sheetFormatPr defaultColWidth="11" defaultRowHeight="15.75" zeroHeight="false" outlineLevelRow="0" outlineLevelCol="0"/>
  <cols>
    <col collapsed="false" customWidth="true" hidden="false" outlineLevel="0" max="1" min="1" style="0" width="24.63"/>
    <col collapsed="false" customWidth="true" hidden="false" outlineLevel="0" max="15" min="15" style="0" width="22.12"/>
  </cols>
  <sheetData>
    <row r="1" customFormat="false" ht="15.75" hidden="false" customHeight="false" outlineLevel="0" collapsed="false">
      <c r="A1" s="12" t="s">
        <v>155</v>
      </c>
      <c r="B1" s="88" t="n">
        <v>2026</v>
      </c>
    </row>
    <row r="2" customFormat="false" ht="15.75" hidden="false" customHeight="false" outlineLevel="0" collapsed="false">
      <c r="A2" s="12" t="s">
        <v>156</v>
      </c>
      <c r="B2" s="89" t="n">
        <v>3</v>
      </c>
    </row>
    <row r="3" customFormat="false" ht="15.75" hidden="false" customHeight="false" outlineLevel="0" collapsed="false">
      <c r="A3" s="12" t="s">
        <v>157</v>
      </c>
      <c r="B3" s="89" t="n">
        <v>24</v>
      </c>
    </row>
    <row r="5" customFormat="false" ht="15.75" hidden="false" customHeight="false" outlineLevel="0" collapsed="false">
      <c r="A5" s="12" t="s">
        <v>158</v>
      </c>
      <c r="B5" s="86" t="s">
        <v>76</v>
      </c>
      <c r="C5" s="86" t="s">
        <v>77</v>
      </c>
      <c r="D5" s="86" t="s">
        <v>78</v>
      </c>
      <c r="E5" s="86" t="s">
        <v>79</v>
      </c>
      <c r="F5" s="86" t="s">
        <v>80</v>
      </c>
      <c r="G5" s="86" t="s">
        <v>81</v>
      </c>
      <c r="H5" s="86" t="s">
        <v>82</v>
      </c>
      <c r="I5" s="86" t="s">
        <v>83</v>
      </c>
      <c r="J5" s="86" t="s">
        <v>84</v>
      </c>
      <c r="K5" s="86" t="s">
        <v>85</v>
      </c>
      <c r="L5" s="86" t="s">
        <v>86</v>
      </c>
      <c r="M5" s="86" t="s">
        <v>87</v>
      </c>
    </row>
    <row r="6" customFormat="false" ht="15.75" hidden="false" customHeight="false" outlineLevel="0" collapsed="false">
      <c r="A6" s="12" t="s">
        <v>159</v>
      </c>
      <c r="B6" s="90" t="n">
        <v>31</v>
      </c>
      <c r="C6" s="90" t="n">
        <v>28</v>
      </c>
      <c r="D6" s="90" t="n">
        <v>31</v>
      </c>
      <c r="E6" s="90" t="n">
        <v>30</v>
      </c>
      <c r="F6" s="90" t="n">
        <v>31</v>
      </c>
      <c r="G6" s="90" t="n">
        <v>30</v>
      </c>
      <c r="H6" s="90" t="n">
        <v>31</v>
      </c>
      <c r="I6" s="90" t="n">
        <v>31</v>
      </c>
      <c r="J6" s="90" t="n">
        <v>30</v>
      </c>
      <c r="K6" s="90" t="n">
        <v>31</v>
      </c>
      <c r="L6" s="90" t="n">
        <v>30</v>
      </c>
      <c r="M6" s="90" t="n">
        <v>31</v>
      </c>
    </row>
    <row r="7" customFormat="false" ht="15.75" hidden="false" customHeight="false" outlineLevel="0" collapsed="false">
      <c r="A7" s="12" t="s">
        <v>160</v>
      </c>
      <c r="B7" s="91" t="n">
        <v>10</v>
      </c>
      <c r="C7" s="91" t="n">
        <v>9</v>
      </c>
      <c r="D7" s="91" t="n">
        <v>10</v>
      </c>
      <c r="E7" s="91" t="n">
        <v>8</v>
      </c>
      <c r="F7" s="91" t="n">
        <v>11</v>
      </c>
      <c r="G7" s="91" t="n">
        <v>8</v>
      </c>
      <c r="H7" s="91" t="n">
        <v>8</v>
      </c>
      <c r="I7" s="91" t="n">
        <v>10</v>
      </c>
      <c r="J7" s="91" t="n">
        <v>8</v>
      </c>
      <c r="K7" s="91" t="n">
        <v>9</v>
      </c>
      <c r="L7" s="91" t="n">
        <v>10</v>
      </c>
      <c r="M7" s="91" t="n">
        <v>9</v>
      </c>
    </row>
    <row r="8" customFormat="false" ht="15.75" hidden="false" customHeight="false" outlineLevel="0" collapsed="false">
      <c r="A8" s="12" t="s">
        <v>161</v>
      </c>
      <c r="B8" s="92" t="n">
        <f aca="false">B6-B7</f>
        <v>21</v>
      </c>
      <c r="C8" s="92" t="n">
        <f aca="false">C6-C7</f>
        <v>19</v>
      </c>
      <c r="D8" s="92" t="n">
        <f aca="false">D6-D7</f>
        <v>21</v>
      </c>
      <c r="E8" s="92" t="n">
        <f aca="false">E6-E7</f>
        <v>22</v>
      </c>
      <c r="F8" s="92" t="n">
        <f aca="false">F6-F7</f>
        <v>20</v>
      </c>
      <c r="G8" s="92" t="n">
        <f aca="false">G6-G7</f>
        <v>22</v>
      </c>
      <c r="H8" s="92" t="n">
        <f aca="false">H6-H7</f>
        <v>23</v>
      </c>
      <c r="I8" s="92" t="n">
        <f aca="false">I6-I7</f>
        <v>21</v>
      </c>
      <c r="J8" s="92" t="n">
        <f aca="false">J6-J7</f>
        <v>22</v>
      </c>
      <c r="K8" s="92" t="n">
        <f aca="false">K6-K7</f>
        <v>22</v>
      </c>
      <c r="L8" s="92" t="n">
        <f aca="false">L6-L7</f>
        <v>20</v>
      </c>
      <c r="M8" s="92" t="n">
        <f aca="false">M6-M7</f>
        <v>22</v>
      </c>
    </row>
    <row r="9" customFormat="false" ht="15.75" hidden="false" customHeight="false" outlineLevel="0" collapsed="false">
      <c r="A9" s="12" t="s">
        <v>162</v>
      </c>
      <c r="B9" s="92" t="n">
        <f aca="false">B8*$B$2</f>
        <v>63</v>
      </c>
      <c r="C9" s="92" t="n">
        <f aca="false">C8*$B$2</f>
        <v>57</v>
      </c>
      <c r="D9" s="92" t="n">
        <f aca="false">D8*$B$2</f>
        <v>63</v>
      </c>
      <c r="E9" s="92" t="n">
        <f aca="false">E8*$B$2</f>
        <v>66</v>
      </c>
      <c r="F9" s="92" t="n">
        <f aca="false">F8*$B$2</f>
        <v>60</v>
      </c>
      <c r="G9" s="92" t="n">
        <f aca="false">G8*$B$2</f>
        <v>66</v>
      </c>
      <c r="H9" s="92" t="n">
        <f aca="false">H8*$B$2</f>
        <v>69</v>
      </c>
      <c r="I9" s="92" t="n">
        <f aca="false">I8*$B$2</f>
        <v>63</v>
      </c>
      <c r="J9" s="92" t="n">
        <f aca="false">J8*$B$2</f>
        <v>66</v>
      </c>
      <c r="K9" s="92" t="n">
        <f aca="false">K8*$B$2</f>
        <v>66</v>
      </c>
      <c r="L9" s="92" t="n">
        <f aca="false">L8*$B$2</f>
        <v>60</v>
      </c>
      <c r="M9" s="92" t="n">
        <f aca="false">M8*$B$2</f>
        <v>66</v>
      </c>
    </row>
    <row r="10" customFormat="false" ht="15.75" hidden="false" customHeight="false" outlineLevel="0" collapsed="false">
      <c r="A10" s="12" t="s">
        <v>163</v>
      </c>
      <c r="B10" s="92" t="n">
        <f aca="false">B11-B9</f>
        <v>681</v>
      </c>
      <c r="C10" s="92" t="n">
        <f aca="false">C11-C9</f>
        <v>615</v>
      </c>
      <c r="D10" s="92" t="n">
        <f aca="false">D11-D9</f>
        <v>681</v>
      </c>
      <c r="E10" s="92" t="n">
        <f aca="false">E11-E9</f>
        <v>654</v>
      </c>
      <c r="F10" s="92" t="n">
        <f aca="false">F11-F9</f>
        <v>684</v>
      </c>
      <c r="G10" s="92" t="n">
        <f aca="false">G11-G9</f>
        <v>654</v>
      </c>
      <c r="H10" s="92" t="n">
        <f aca="false">H11-H9</f>
        <v>675</v>
      </c>
      <c r="I10" s="92" t="n">
        <f aca="false">I11-I9</f>
        <v>681</v>
      </c>
      <c r="J10" s="92" t="n">
        <f aca="false">J11-J9</f>
        <v>654</v>
      </c>
      <c r="K10" s="92" t="n">
        <f aca="false">K11-K9</f>
        <v>678</v>
      </c>
      <c r="L10" s="92" t="n">
        <f aca="false">L11-L9</f>
        <v>660</v>
      </c>
      <c r="M10" s="92" t="n">
        <f aca="false">M11-M9</f>
        <v>678</v>
      </c>
    </row>
    <row r="11" customFormat="false" ht="15.75" hidden="false" customHeight="false" outlineLevel="0" collapsed="false">
      <c r="A11" s="12" t="s">
        <v>164</v>
      </c>
      <c r="B11" s="92" t="n">
        <f aca="false">$B$3*B6</f>
        <v>744</v>
      </c>
      <c r="C11" s="92" t="n">
        <f aca="false">$B$3*C6</f>
        <v>672</v>
      </c>
      <c r="D11" s="92" t="n">
        <f aca="false">$B$3*D6</f>
        <v>744</v>
      </c>
      <c r="E11" s="92" t="n">
        <f aca="false">$B$3*E6</f>
        <v>720</v>
      </c>
      <c r="F11" s="92" t="n">
        <f aca="false">$B$3*F6</f>
        <v>744</v>
      </c>
      <c r="G11" s="92" t="n">
        <f aca="false">$B$3*G6</f>
        <v>720</v>
      </c>
      <c r="H11" s="92" t="n">
        <f aca="false">$B$3*H6</f>
        <v>744</v>
      </c>
      <c r="I11" s="92" t="n">
        <f aca="false">$B$3*I6</f>
        <v>744</v>
      </c>
      <c r="J11" s="92" t="n">
        <f aca="false">$B$3*J6</f>
        <v>720</v>
      </c>
      <c r="K11" s="92" t="n">
        <f aca="false">$B$3*K6</f>
        <v>744</v>
      </c>
      <c r="L11" s="92" t="n">
        <f aca="false">$B$3*L6</f>
        <v>720</v>
      </c>
      <c r="M11" s="92" t="n">
        <f aca="false">$B$3*M6</f>
        <v>744</v>
      </c>
    </row>
    <row r="14" customFormat="false" ht="15.75" hidden="false" customHeight="false" outlineLevel="0" collapsed="false">
      <c r="A14" s="93" t="s">
        <v>59</v>
      </c>
      <c r="B14" s="94" t="s">
        <v>165</v>
      </c>
      <c r="C14" s="55" t="s">
        <v>76</v>
      </c>
      <c r="D14" s="55" t="s">
        <v>77</v>
      </c>
      <c r="E14" s="55" t="s">
        <v>78</v>
      </c>
      <c r="F14" s="55" t="s">
        <v>79</v>
      </c>
      <c r="G14" s="55" t="s">
        <v>80</v>
      </c>
      <c r="H14" s="55" t="s">
        <v>81</v>
      </c>
      <c r="I14" s="55" t="s">
        <v>82</v>
      </c>
      <c r="J14" s="55" t="s">
        <v>83</v>
      </c>
      <c r="K14" s="55" t="s">
        <v>84</v>
      </c>
      <c r="L14" s="55" t="s">
        <v>85</v>
      </c>
      <c r="M14" s="55" t="s">
        <v>86</v>
      </c>
      <c r="N14" s="55" t="s">
        <v>87</v>
      </c>
      <c r="O14" s="55" t="s">
        <v>166</v>
      </c>
    </row>
    <row r="15" customFormat="false" ht="15.75" hidden="false" customHeight="false" outlineLevel="0" collapsed="false">
      <c r="A15" s="95" t="s">
        <v>167</v>
      </c>
      <c r="B15" s="95" t="s">
        <v>140</v>
      </c>
      <c r="C15" s="67" t="n">
        <f aca="false">'8Planejamento Geração - INPUT'!B2</f>
        <v>23979.1671</v>
      </c>
      <c r="D15" s="67" t="n">
        <f aca="false">'8Planejamento Geração - INPUT'!C2</f>
        <v>21368.45235</v>
      </c>
      <c r="E15" s="67" t="n">
        <f aca="false">'8Planejamento Geração - INPUT'!D2</f>
        <v>24144.72795</v>
      </c>
      <c r="F15" s="67" t="n">
        <f aca="false">'8Planejamento Geração - INPUT'!E2</f>
        <v>24559.14825</v>
      </c>
      <c r="G15" s="67" t="n">
        <f aca="false">'8Planejamento Geração - INPUT'!F2</f>
        <v>24972.53325</v>
      </c>
      <c r="H15" s="67" t="n">
        <f aca="false">'8Planejamento Geração - INPUT'!G2</f>
        <v>18891.6525</v>
      </c>
      <c r="I15" s="67" t="n">
        <f aca="false">'8Planejamento Geração - INPUT'!H2</f>
        <v>16420.194</v>
      </c>
      <c r="J15" s="67" t="n">
        <f aca="false">'8Planejamento Geração - INPUT'!I2</f>
        <v>15320.57205</v>
      </c>
      <c r="K15" s="67" t="n">
        <f aca="false">'8Planejamento Geração - INPUT'!J2</f>
        <v>15407.4585</v>
      </c>
      <c r="L15" s="67" t="n">
        <f aca="false">'8Planejamento Geração - INPUT'!K2</f>
        <v>16528.92045</v>
      </c>
      <c r="M15" s="67" t="n">
        <f aca="false">'8Planejamento Geração - INPUT'!L2</f>
        <v>17382.7122</v>
      </c>
      <c r="N15" s="67" t="n">
        <f aca="false">'8Planejamento Geração - INPUT'!M2</f>
        <v>21189.3402</v>
      </c>
      <c r="O15" s="67" t="n">
        <f aca="false">SUM(C15:N15)</f>
        <v>240164.8788</v>
      </c>
    </row>
    <row r="16" customFormat="false" ht="15.75" hidden="false" customHeight="false" outlineLevel="0" collapsed="false">
      <c r="A16" s="95" t="s">
        <v>167</v>
      </c>
      <c r="B16" s="95" t="s">
        <v>168</v>
      </c>
      <c r="C16" s="18" t="n">
        <f aca="false">C15/B11</f>
        <v>32.2300633064516</v>
      </c>
      <c r="D16" s="18" t="n">
        <f aca="false">D15/C11</f>
        <v>31.7982921875</v>
      </c>
      <c r="E16" s="18" t="n">
        <f aca="false">E15/D11</f>
        <v>32.4525913306452</v>
      </c>
      <c r="F16" s="18" t="n">
        <f aca="false">F15/E11</f>
        <v>34.109928125</v>
      </c>
      <c r="G16" s="18" t="n">
        <f aca="false">G15/F11</f>
        <v>33.5652328629032</v>
      </c>
      <c r="H16" s="18" t="n">
        <f aca="false">H15/G11</f>
        <v>26.23840625</v>
      </c>
      <c r="I16" s="18" t="n">
        <f aca="false">I15/H11</f>
        <v>22.0701532258065</v>
      </c>
      <c r="J16" s="18" t="n">
        <f aca="false">J15/I11</f>
        <v>20.592166733871</v>
      </c>
      <c r="K16" s="18" t="n">
        <f aca="false">K15/J11</f>
        <v>21.3992479166667</v>
      </c>
      <c r="L16" s="18" t="n">
        <f aca="false">L15/K11</f>
        <v>22.2162909274194</v>
      </c>
      <c r="M16" s="18" t="n">
        <f aca="false">M15/L11</f>
        <v>24.1426558333333</v>
      </c>
      <c r="N16" s="18" t="n">
        <f aca="false">N15/M11</f>
        <v>28.4802959677419</v>
      </c>
      <c r="O16" s="18" t="n">
        <f aca="false">AVERAGE(C16:N16)</f>
        <v>27.4412770556116</v>
      </c>
    </row>
    <row r="17" customFormat="false" ht="15.75" hidden="false" customHeight="false" outlineLevel="0" collapsed="false">
      <c r="A17" s="95" t="s">
        <v>169</v>
      </c>
      <c r="B17" s="95" t="s">
        <v>140</v>
      </c>
      <c r="C17" s="67" t="n">
        <f aca="false">'8Planejamento Geração - INPUT'!B3</f>
        <v>13943</v>
      </c>
      <c r="D17" s="67" t="n">
        <f aca="false">'8Planejamento Geração - INPUT'!C3</f>
        <v>12192</v>
      </c>
      <c r="E17" s="67" t="n">
        <f aca="false">'8Planejamento Geração - INPUT'!D3</f>
        <v>13483</v>
      </c>
      <c r="F17" s="67" t="n">
        <f aca="false">'8Planejamento Geração - INPUT'!E3</f>
        <v>9537</v>
      </c>
      <c r="G17" s="67" t="n">
        <f aca="false">'8Planejamento Geração - INPUT'!F3</f>
        <v>9350</v>
      </c>
      <c r="H17" s="67" t="n">
        <f aca="false">'8Planejamento Geração - INPUT'!G3</f>
        <v>6545</v>
      </c>
      <c r="I17" s="67" t="n">
        <f aca="false">'8Planejamento Geração - INPUT'!H3</f>
        <v>5891</v>
      </c>
      <c r="J17" s="67" t="n">
        <f aca="false">'8Planejamento Geração - INPUT'!I3</f>
        <v>5830</v>
      </c>
      <c r="K17" s="67" t="n">
        <f aca="false">'8Planejamento Geração - INPUT'!J3</f>
        <v>4930</v>
      </c>
      <c r="L17" s="67" t="n">
        <f aca="false">'8Planejamento Geração - INPUT'!K3</f>
        <v>5800</v>
      </c>
      <c r="M17" s="67" t="n">
        <f aca="false">'8Planejamento Geração - INPUT'!L3</f>
        <v>10753</v>
      </c>
      <c r="N17" s="67" t="n">
        <f aca="false">'8Planejamento Geração - INPUT'!M3</f>
        <v>13750</v>
      </c>
      <c r="O17" s="67" t="n">
        <f aca="false">SUM(C17:N17)</f>
        <v>112004</v>
      </c>
    </row>
    <row r="18" customFormat="false" ht="15.75" hidden="false" customHeight="false" outlineLevel="0" collapsed="false">
      <c r="A18" s="95" t="s">
        <v>169</v>
      </c>
      <c r="B18" s="95" t="s">
        <v>168</v>
      </c>
      <c r="C18" s="18" t="n">
        <f aca="false">C17/B11</f>
        <v>18.7405913978495</v>
      </c>
      <c r="D18" s="18" t="n">
        <f aca="false">D17/C11</f>
        <v>18.1428571428571</v>
      </c>
      <c r="E18" s="18" t="n">
        <f aca="false">E17/D11</f>
        <v>18.122311827957</v>
      </c>
      <c r="F18" s="18" t="n">
        <f aca="false">F17/E11</f>
        <v>13.2458333333333</v>
      </c>
      <c r="G18" s="18" t="n">
        <f aca="false">G17/F11</f>
        <v>12.5672043010753</v>
      </c>
      <c r="H18" s="18" t="n">
        <f aca="false">H17/G11</f>
        <v>9.09027777777778</v>
      </c>
      <c r="I18" s="18" t="n">
        <f aca="false">I17/H11</f>
        <v>7.91801075268817</v>
      </c>
      <c r="J18" s="18" t="n">
        <f aca="false">J17/I11</f>
        <v>7.83602150537634</v>
      </c>
      <c r="K18" s="18" t="n">
        <f aca="false">K17/J11</f>
        <v>6.84722222222222</v>
      </c>
      <c r="L18" s="18" t="n">
        <f aca="false">L17/K11</f>
        <v>7.79569892473118</v>
      </c>
      <c r="M18" s="18" t="n">
        <f aca="false">M17/L11</f>
        <v>14.9347222222222</v>
      </c>
      <c r="N18" s="18" t="n">
        <f aca="false">N17/M11</f>
        <v>18.4811827956989</v>
      </c>
      <c r="O18" s="18" t="n">
        <f aca="false">AVERAGE(C18:N18)</f>
        <v>12.8101611836491</v>
      </c>
    </row>
    <row r="19" customFormat="false" ht="15.75" hidden="false" customHeight="false" outlineLevel="0" collapsed="false">
      <c r="A19" s="95" t="s">
        <v>145</v>
      </c>
      <c r="B19" s="95" t="s">
        <v>140</v>
      </c>
      <c r="C19" s="67" t="n">
        <f aca="false">C15+C17</f>
        <v>37922.1671</v>
      </c>
      <c r="D19" s="67" t="n">
        <f aca="false">D15+D17</f>
        <v>33560.45235</v>
      </c>
      <c r="E19" s="67" t="n">
        <f aca="false">E15+E17</f>
        <v>37627.72795</v>
      </c>
      <c r="F19" s="67" t="n">
        <f aca="false">F15+F17</f>
        <v>34096.14825</v>
      </c>
      <c r="G19" s="67" t="n">
        <f aca="false">G15+G17</f>
        <v>34322.53325</v>
      </c>
      <c r="H19" s="67" t="n">
        <f aca="false">H15+H17</f>
        <v>25436.6525</v>
      </c>
      <c r="I19" s="67" t="n">
        <f aca="false">I15+I17</f>
        <v>22311.194</v>
      </c>
      <c r="J19" s="67" t="n">
        <f aca="false">J15+J17</f>
        <v>21150.57205</v>
      </c>
      <c r="K19" s="67" t="n">
        <f aca="false">K15+K17</f>
        <v>20337.4585</v>
      </c>
      <c r="L19" s="67" t="n">
        <f aca="false">L15+L17</f>
        <v>22328.92045</v>
      </c>
      <c r="M19" s="67" t="n">
        <f aca="false">M15+M17</f>
        <v>28135.7122</v>
      </c>
      <c r="N19" s="67" t="n">
        <f aca="false">N15+N17</f>
        <v>34939.3402</v>
      </c>
      <c r="O19" s="67" t="n">
        <f aca="false">SUM(C19:N19)</f>
        <v>352168.8788</v>
      </c>
    </row>
    <row r="20" customFormat="false" ht="15.75" hidden="false" customHeight="false" outlineLevel="0" collapsed="false">
      <c r="A20" s="95" t="s">
        <v>145</v>
      </c>
      <c r="B20" s="95" t="s">
        <v>168</v>
      </c>
      <c r="C20" s="96" t="n">
        <f aca="false">C19/B11</f>
        <v>50.9706547043011</v>
      </c>
      <c r="D20" s="96" t="n">
        <f aca="false">D19/C11</f>
        <v>49.9411493303571</v>
      </c>
      <c r="E20" s="96" t="n">
        <f aca="false">E19/D11</f>
        <v>50.5749031586022</v>
      </c>
      <c r="F20" s="96" t="n">
        <f aca="false">F19/E11</f>
        <v>47.3557614583333</v>
      </c>
      <c r="G20" s="96" t="n">
        <f aca="false">G19/F11</f>
        <v>46.1324371639785</v>
      </c>
      <c r="H20" s="96" t="n">
        <f aca="false">H19/G11</f>
        <v>35.3286840277778</v>
      </c>
      <c r="I20" s="96" t="n">
        <f aca="false">I19/H11</f>
        <v>29.9881639784946</v>
      </c>
      <c r="J20" s="96" t="n">
        <f aca="false">J19/I11</f>
        <v>28.4281882392473</v>
      </c>
      <c r="K20" s="96" t="n">
        <f aca="false">K19/J11</f>
        <v>28.2464701388889</v>
      </c>
      <c r="L20" s="96" t="n">
        <f aca="false">L19/K11</f>
        <v>30.0119898521505</v>
      </c>
      <c r="M20" s="96" t="n">
        <f aca="false">M19/L11</f>
        <v>39.0773780555556</v>
      </c>
      <c r="N20" s="96" t="n">
        <f aca="false">N19/M11</f>
        <v>46.9614787634409</v>
      </c>
      <c r="O20" s="18" t="n">
        <f aca="false">AVERAGE(C20:N20)</f>
        <v>40.2514382392607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3" activeCellId="0" sqref="C3"/>
    </sheetView>
  </sheetViews>
  <sheetFormatPr defaultColWidth="11" defaultRowHeight="15.75" zeroHeight="false" outlineLevelRow="0" outlineLevelCol="0"/>
  <cols>
    <col collapsed="false" customWidth="true" hidden="false" outlineLevel="0" max="1" min="1" style="0" width="9.88"/>
    <col collapsed="false" customWidth="true" hidden="false" outlineLevel="0" max="2" min="2" style="0" width="11.12"/>
    <col collapsed="false" customWidth="true" hidden="false" outlineLevel="0" max="14" min="3" style="0" width="9.88"/>
  </cols>
  <sheetData>
    <row r="1" customFormat="false" ht="17.35" hidden="false" customHeight="false" outlineLevel="0" collapsed="false">
      <c r="A1" s="97" t="s">
        <v>59</v>
      </c>
      <c r="B1" s="97" t="s">
        <v>170</v>
      </c>
      <c r="C1" s="98" t="s">
        <v>76</v>
      </c>
      <c r="D1" s="98" t="s">
        <v>77</v>
      </c>
      <c r="E1" s="98" t="s">
        <v>78</v>
      </c>
      <c r="F1" s="98" t="s">
        <v>79</v>
      </c>
      <c r="G1" s="98" t="s">
        <v>80</v>
      </c>
      <c r="H1" s="98" t="s">
        <v>81</v>
      </c>
      <c r="I1" s="98" t="s">
        <v>82</v>
      </c>
      <c r="J1" s="98" t="s">
        <v>83</v>
      </c>
      <c r="K1" s="98" t="s">
        <v>84</v>
      </c>
      <c r="L1" s="98" t="s">
        <v>85</v>
      </c>
      <c r="M1" s="98" t="s">
        <v>86</v>
      </c>
      <c r="N1" s="98" t="s">
        <v>87</v>
      </c>
    </row>
    <row r="2" customFormat="false" ht="17.35" hidden="false" customHeight="false" outlineLevel="0" collapsed="false">
      <c r="A2" s="97" t="s">
        <v>63</v>
      </c>
      <c r="B2" s="97" t="s">
        <v>65</v>
      </c>
      <c r="C2" s="99" t="n">
        <v>120000</v>
      </c>
      <c r="D2" s="99" t="n">
        <v>120000</v>
      </c>
      <c r="E2" s="99" t="n">
        <v>120000</v>
      </c>
      <c r="F2" s="99" t="n">
        <v>120000</v>
      </c>
      <c r="G2" s="99" t="n">
        <v>120000</v>
      </c>
      <c r="H2" s="99" t="n">
        <v>120000</v>
      </c>
      <c r="I2" s="99" t="n">
        <v>120000</v>
      </c>
      <c r="J2" s="99" t="n">
        <v>120000</v>
      </c>
      <c r="K2" s="99" t="n">
        <v>120000</v>
      </c>
      <c r="L2" s="99" t="n">
        <v>120000</v>
      </c>
      <c r="M2" s="99" t="n">
        <v>120000</v>
      </c>
      <c r="N2" s="99" t="n">
        <v>120000</v>
      </c>
    </row>
    <row r="3" customFormat="false" ht="17.35" hidden="false" customHeight="false" outlineLevel="0" collapsed="false">
      <c r="A3" s="97" t="s">
        <v>63</v>
      </c>
      <c r="B3" s="97" t="s">
        <v>66</v>
      </c>
      <c r="C3" s="99" t="n">
        <v>120000</v>
      </c>
      <c r="D3" s="99" t="n">
        <v>120000</v>
      </c>
      <c r="E3" s="99" t="n">
        <v>120000</v>
      </c>
      <c r="F3" s="99" t="n">
        <v>120000</v>
      </c>
      <c r="G3" s="99" t="n">
        <v>120000</v>
      </c>
      <c r="H3" s="99" t="n">
        <v>120000</v>
      </c>
      <c r="I3" s="99" t="n">
        <v>120000</v>
      </c>
      <c r="J3" s="99" t="n">
        <v>120000</v>
      </c>
      <c r="K3" s="99" t="n">
        <v>120000</v>
      </c>
      <c r="L3" s="99" t="n">
        <v>120000</v>
      </c>
      <c r="M3" s="99" t="n">
        <v>120000</v>
      </c>
      <c r="N3" s="99" t="n">
        <v>120000</v>
      </c>
    </row>
    <row r="4" customFormat="false" ht="17.35" hidden="false" customHeight="false" outlineLevel="0" collapsed="false">
      <c r="A4" s="97" t="s">
        <v>171</v>
      </c>
      <c r="B4" s="97" t="s">
        <v>65</v>
      </c>
      <c r="C4" s="99" t="n">
        <v>11000</v>
      </c>
      <c r="D4" s="99" t="n">
        <v>11000</v>
      </c>
      <c r="E4" s="99" t="n">
        <v>11000</v>
      </c>
      <c r="F4" s="99" t="n">
        <v>11000</v>
      </c>
      <c r="G4" s="99" t="n">
        <v>11000</v>
      </c>
      <c r="H4" s="99" t="n">
        <v>11000</v>
      </c>
      <c r="I4" s="99" t="n">
        <v>11000</v>
      </c>
      <c r="J4" s="99" t="n">
        <v>11000</v>
      </c>
      <c r="K4" s="99" t="n">
        <v>11000</v>
      </c>
      <c r="L4" s="99" t="n">
        <v>11000</v>
      </c>
      <c r="M4" s="99" t="n">
        <v>11000</v>
      </c>
      <c r="N4" s="99" t="n">
        <v>11000</v>
      </c>
    </row>
    <row r="5" customFormat="false" ht="17.35" hidden="false" customHeight="false" outlineLevel="0" collapsed="false">
      <c r="A5" s="97" t="s">
        <v>171</v>
      </c>
      <c r="B5" s="97" t="s">
        <v>66</v>
      </c>
      <c r="C5" s="99" t="n">
        <v>11000</v>
      </c>
      <c r="D5" s="99" t="n">
        <v>11000</v>
      </c>
      <c r="E5" s="99" t="n">
        <v>11000</v>
      </c>
      <c r="F5" s="99" t="n">
        <v>11000</v>
      </c>
      <c r="G5" s="99" t="n">
        <v>11000</v>
      </c>
      <c r="H5" s="99" t="n">
        <v>11000</v>
      </c>
      <c r="I5" s="99" t="n">
        <v>11000</v>
      </c>
      <c r="J5" s="99" t="n">
        <v>11000</v>
      </c>
      <c r="K5" s="99" t="n">
        <v>11000</v>
      </c>
      <c r="L5" s="99" t="n">
        <v>11000</v>
      </c>
      <c r="M5" s="99" t="n">
        <v>11000</v>
      </c>
      <c r="N5" s="99" t="n">
        <v>11000</v>
      </c>
    </row>
    <row r="6" customFormat="false" ht="17.35" hidden="false" customHeight="false" outlineLevel="0" collapsed="false">
      <c r="A6" s="97" t="s">
        <v>172</v>
      </c>
      <c r="B6" s="97" t="s">
        <v>65</v>
      </c>
      <c r="C6" s="100" t="n">
        <v>88000</v>
      </c>
      <c r="D6" s="100" t="n">
        <v>88000</v>
      </c>
      <c r="E6" s="100" t="n">
        <v>88000</v>
      </c>
      <c r="F6" s="100" t="n">
        <v>88000</v>
      </c>
      <c r="G6" s="100" t="n">
        <v>88000</v>
      </c>
      <c r="H6" s="100" t="n">
        <v>88000</v>
      </c>
      <c r="I6" s="100" t="n">
        <v>88000</v>
      </c>
      <c r="J6" s="100" t="n">
        <v>88000</v>
      </c>
      <c r="K6" s="100" t="n">
        <v>88000</v>
      </c>
      <c r="L6" s="100" t="n">
        <v>88000</v>
      </c>
      <c r="M6" s="100" t="n">
        <v>88000</v>
      </c>
      <c r="N6" s="100" t="n">
        <v>88000</v>
      </c>
    </row>
    <row r="7" customFormat="false" ht="17.35" hidden="false" customHeight="false" outlineLevel="0" collapsed="false">
      <c r="A7" s="97" t="s">
        <v>172</v>
      </c>
      <c r="B7" s="97" t="s">
        <v>66</v>
      </c>
      <c r="C7" s="100" t="n">
        <v>88000</v>
      </c>
      <c r="D7" s="100" t="n">
        <v>88000</v>
      </c>
      <c r="E7" s="100" t="n">
        <v>88000</v>
      </c>
      <c r="F7" s="100" t="n">
        <v>88000</v>
      </c>
      <c r="G7" s="100" t="n">
        <v>88000</v>
      </c>
      <c r="H7" s="100" t="n">
        <v>88000</v>
      </c>
      <c r="I7" s="100" t="n">
        <v>88000</v>
      </c>
      <c r="J7" s="100" t="n">
        <v>88000</v>
      </c>
      <c r="K7" s="100" t="n">
        <v>88000</v>
      </c>
      <c r="L7" s="100" t="n">
        <v>88000</v>
      </c>
      <c r="M7" s="100" t="n">
        <v>88000</v>
      </c>
      <c r="N7" s="100" t="n">
        <v>88000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6"/>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selection pane="topLeft" activeCell="O16" activeCellId="0" sqref="O16"/>
    </sheetView>
  </sheetViews>
  <sheetFormatPr defaultColWidth="11" defaultRowHeight="15.75" zeroHeight="false" outlineLevelRow="0" outlineLevelCol="0"/>
  <cols>
    <col collapsed="false" customWidth="true" hidden="false" outlineLevel="0" max="1" min="1" style="0" width="16.5"/>
    <col collapsed="false" customWidth="true" hidden="false" outlineLevel="0" max="2" min="2" style="0" width="10.63"/>
    <col collapsed="false" customWidth="true" hidden="false" outlineLevel="0" max="14" min="3" style="0" width="12.12"/>
    <col collapsed="false" customWidth="true" hidden="false" outlineLevel="0" max="15" min="15" style="0" width="22.12"/>
  </cols>
  <sheetData>
    <row r="1" customFormat="false" ht="15.75" hidden="false" customHeight="false" outlineLevel="0" collapsed="false">
      <c r="A1" s="101" t="s">
        <v>173</v>
      </c>
      <c r="B1" s="101"/>
      <c r="C1" s="55" t="s">
        <v>76</v>
      </c>
      <c r="D1" s="55" t="s">
        <v>77</v>
      </c>
      <c r="E1" s="55" t="s">
        <v>78</v>
      </c>
      <c r="F1" s="55" t="s">
        <v>79</v>
      </c>
      <c r="G1" s="55" t="s">
        <v>80</v>
      </c>
      <c r="H1" s="55" t="s">
        <v>81</v>
      </c>
      <c r="I1" s="55" t="s">
        <v>82</v>
      </c>
      <c r="J1" s="55" t="s">
        <v>83</v>
      </c>
      <c r="K1" s="55" t="s">
        <v>84</v>
      </c>
      <c r="L1" s="55" t="s">
        <v>85</v>
      </c>
      <c r="M1" s="55" t="s">
        <v>86</v>
      </c>
      <c r="N1" s="55" t="s">
        <v>87</v>
      </c>
      <c r="O1" s="55" t="s">
        <v>166</v>
      </c>
    </row>
    <row r="2" customFormat="false" ht="15.75" hidden="false" customHeight="false" outlineLevel="0" collapsed="false">
      <c r="A2" s="12" t="s">
        <v>174</v>
      </c>
      <c r="B2" s="102" t="s">
        <v>175</v>
      </c>
      <c r="C2" s="103" t="n">
        <v>11.3299542824591</v>
      </c>
      <c r="D2" s="103" t="n">
        <v>14.2925124745266</v>
      </c>
      <c r="E2" s="103" t="n">
        <v>16.6092370383086</v>
      </c>
      <c r="F2" s="103" t="n">
        <v>16.9263320010871</v>
      </c>
      <c r="G2" s="103" t="n">
        <v>17.0724409157406</v>
      </c>
      <c r="H2" s="103" t="n">
        <v>11.86274727182</v>
      </c>
      <c r="I2" s="103" t="n">
        <v>10.5420967811414</v>
      </c>
      <c r="J2" s="103" t="n">
        <v>8.82799936625398</v>
      </c>
      <c r="K2" s="103" t="n">
        <v>7.93809533347903</v>
      </c>
      <c r="L2" s="103" t="n">
        <v>8.77296482027835</v>
      </c>
      <c r="M2" s="103" t="n">
        <v>9.89288738945115</v>
      </c>
      <c r="N2" s="103" t="n">
        <v>12.0629068450646</v>
      </c>
      <c r="O2" s="89"/>
    </row>
    <row r="3" customFormat="false" ht="15.75" hidden="false" customHeight="false" outlineLevel="0" collapsed="false">
      <c r="A3" s="12" t="s">
        <v>176</v>
      </c>
      <c r="B3" s="102" t="s">
        <v>175</v>
      </c>
      <c r="C3" s="23" t="n">
        <v>3.31</v>
      </c>
      <c r="D3" s="23" t="n">
        <v>3.42</v>
      </c>
      <c r="E3" s="23" t="n">
        <v>3.24</v>
      </c>
      <c r="F3" s="23" t="n">
        <v>3.56119970062708</v>
      </c>
      <c r="G3" s="23" t="n">
        <v>3.58509216196125</v>
      </c>
      <c r="H3" s="23" t="n">
        <v>3.74720614407091</v>
      </c>
      <c r="I3" s="23" t="n">
        <v>7.08880369703058</v>
      </c>
      <c r="J3" s="23" t="n">
        <v>7.06747029863739</v>
      </c>
      <c r="K3" s="23" t="n">
        <v>6.99112100529334</v>
      </c>
      <c r="L3" s="23" t="n">
        <v>6.75573600355482</v>
      </c>
      <c r="M3" s="23" t="n">
        <v>7.03611955711038</v>
      </c>
      <c r="N3" s="23" t="n">
        <v>6.9628329255811</v>
      </c>
      <c r="O3" s="89"/>
    </row>
    <row r="4" customFormat="false" ht="15.75" hidden="false" customHeight="false" outlineLevel="0" collapsed="false">
      <c r="A4" s="12" t="s">
        <v>177</v>
      </c>
      <c r="B4" s="104" t="s">
        <v>175</v>
      </c>
      <c r="C4" s="18" t="n">
        <f aca="false">SUM(C2:C3)</f>
        <v>14.6399542824591</v>
      </c>
      <c r="D4" s="18" t="n">
        <f aca="false">SUM(D2:D3)</f>
        <v>17.7125124745266</v>
      </c>
      <c r="E4" s="18" t="n">
        <f aca="false">SUM(E2:E3)</f>
        <v>19.8492370383086</v>
      </c>
      <c r="F4" s="18" t="n">
        <f aca="false">SUM(F2:F3)</f>
        <v>20.4875317017142</v>
      </c>
      <c r="G4" s="18" t="n">
        <f aca="false">SUM(G2:G3)</f>
        <v>20.6575330777019</v>
      </c>
      <c r="H4" s="18" t="n">
        <f aca="false">SUM(H2:H3)</f>
        <v>15.6099534158909</v>
      </c>
      <c r="I4" s="18" t="n">
        <f aca="false">SUM(I2:I3)</f>
        <v>17.630900478172</v>
      </c>
      <c r="J4" s="18" t="n">
        <f aca="false">SUM(J2:J3)</f>
        <v>15.8954696648914</v>
      </c>
      <c r="K4" s="18" t="n">
        <f aca="false">SUM(K2:K3)</f>
        <v>14.9292163387724</v>
      </c>
      <c r="L4" s="18" t="n">
        <f aca="false">SUM(L2:L3)</f>
        <v>15.5287008238332</v>
      </c>
      <c r="M4" s="18" t="n">
        <f aca="false">SUM(M2:M3)</f>
        <v>16.9290069465615</v>
      </c>
      <c r="N4" s="18" t="n">
        <f aca="false">SUM(N2:N3)</f>
        <v>19.0257397706457</v>
      </c>
      <c r="O4" s="18" t="n">
        <f aca="false">O6/O5</f>
        <v>17.3144203380087</v>
      </c>
    </row>
    <row r="5" customFormat="false" ht="15.75" hidden="false" customHeight="false" outlineLevel="0" collapsed="false">
      <c r="A5" s="12" t="s">
        <v>178</v>
      </c>
      <c r="B5" s="105" t="s">
        <v>140</v>
      </c>
      <c r="C5" s="67" t="n">
        <f aca="false">'7Consumo Área - CALC'!C28-'9Geração Própria - CALC'!C19</f>
        <v>78754.9635875313</v>
      </c>
      <c r="D5" s="67" t="n">
        <f aca="false">'7Consumo Área - CALC'!D28-'9Geração Própria - CALC'!D19</f>
        <v>80539.376382371</v>
      </c>
      <c r="E5" s="67" t="n">
        <f aca="false">'7Consumo Área - CALC'!E28-'9Geração Própria - CALC'!E19</f>
        <v>79475.7926290646</v>
      </c>
      <c r="F5" s="67" t="n">
        <f aca="false">'7Consumo Área - CALC'!F28-'9Geração Própria - CALC'!F19</f>
        <v>87824.3463079669</v>
      </c>
      <c r="G5" s="67" t="n">
        <f aca="false">'7Consumo Área - CALC'!G28-'9Geração Própria - CALC'!G19</f>
        <v>87955.0457932374</v>
      </c>
      <c r="H5" s="67" t="n">
        <f aca="false">'7Consumo Área - CALC'!H28-'9Geração Própria - CALC'!H19</f>
        <v>98991.695836437</v>
      </c>
      <c r="I5" s="67" t="n">
        <f aca="false">'7Consumo Área - CALC'!I28-'9Geração Própria - CALC'!I19</f>
        <v>104110.035283849</v>
      </c>
      <c r="J5" s="67" t="n">
        <f aca="false">'7Consumo Área - CALC'!J28-'9Geração Própria - CALC'!J19</f>
        <v>100975.171942683</v>
      </c>
      <c r="K5" s="67" t="n">
        <f aca="false">'7Consumo Área - CALC'!K28-'9Geração Própria - CALC'!K19</f>
        <v>103213.092948111</v>
      </c>
      <c r="L5" s="67" t="n">
        <f aca="false">'7Consumo Área - CALC'!L28-'9Geração Própria - CALC'!L19</f>
        <v>101446.994930402</v>
      </c>
      <c r="M5" s="67" t="n">
        <f aca="false">'7Consumo Área - CALC'!M28-'9Geração Própria - CALC'!M19</f>
        <v>87500.294476375</v>
      </c>
      <c r="N5" s="67" t="n">
        <f aca="false">'7Consumo Área - CALC'!N28-'9Geração Própria - CALC'!N19</f>
        <v>84444.08238832</v>
      </c>
      <c r="O5" s="67" t="n">
        <f aca="false">SUM(C5:N5)</f>
        <v>1095230.89250635</v>
      </c>
    </row>
    <row r="6" customFormat="false" ht="15.75" hidden="false" customHeight="false" outlineLevel="0" collapsed="false">
      <c r="A6" s="12" t="s">
        <v>179</v>
      </c>
      <c r="B6" s="105" t="s">
        <v>180</v>
      </c>
      <c r="C6" s="96" t="n">
        <f aca="false">C5*C4</f>
        <v>1152969.06643819</v>
      </c>
      <c r="D6" s="96" t="n">
        <f aca="false">D5*D4</f>
        <v>1426554.70886334</v>
      </c>
      <c r="E6" s="96" t="n">
        <f aca="false">E5*E4</f>
        <v>1577533.84670176</v>
      </c>
      <c r="F6" s="96" t="n">
        <f aca="false">F5*F4</f>
        <v>1799304.0791668</v>
      </c>
      <c r="G6" s="96" t="n">
        <f aca="false">G5*G4</f>
        <v>1816934.26782458</v>
      </c>
      <c r="H6" s="96" t="n">
        <f aca="false">H5*H4</f>
        <v>1545255.76056682</v>
      </c>
      <c r="I6" s="96" t="n">
        <f aca="false">I5*I4</f>
        <v>1835553.67086852</v>
      </c>
      <c r="J6" s="96" t="n">
        <f aca="false">J5*J4</f>
        <v>1605047.78252211</v>
      </c>
      <c r="K6" s="96" t="n">
        <f aca="false">K5*K4</f>
        <v>1540890.59361617</v>
      </c>
      <c r="L6" s="96" t="n">
        <f aca="false">L5*L4</f>
        <v>1575340.03375113</v>
      </c>
      <c r="M6" s="96" t="n">
        <f aca="false">M5*M4</f>
        <v>1481293.09301673</v>
      </c>
      <c r="N6" s="96" t="n">
        <f aca="false">N5*N4</f>
        <v>1606611.13669114</v>
      </c>
      <c r="O6" s="67" t="n">
        <f aca="false">SUM(C6:N6)</f>
        <v>18963288.0400273</v>
      </c>
    </row>
    <row r="7" customFormat="false" ht="15.75" hidden="false" customHeight="false" outlineLevel="0" collapsed="false">
      <c r="A7" s="12" t="s">
        <v>181</v>
      </c>
      <c r="B7" s="102" t="s">
        <v>175</v>
      </c>
      <c r="C7" s="106" t="n">
        <v>3.03512734680074</v>
      </c>
      <c r="D7" s="106" t="n">
        <v>0.20743694854762</v>
      </c>
      <c r="E7" s="106" t="n">
        <v>1.53537956133978</v>
      </c>
      <c r="F7" s="106" t="n">
        <v>0.685698742697896</v>
      </c>
      <c r="G7" s="106" t="n">
        <v>0.35952278786897</v>
      </c>
      <c r="H7" s="106" t="n">
        <v>0.909677915939472</v>
      </c>
      <c r="I7" s="106" t="n">
        <v>4.25939588140306</v>
      </c>
      <c r="J7" s="106" t="n">
        <v>7.41165610954343</v>
      </c>
      <c r="K7" s="106" t="n">
        <v>7.52054803171039</v>
      </c>
      <c r="L7" s="106" t="n">
        <v>3.64158432341785</v>
      </c>
      <c r="M7" s="106" t="n">
        <v>5.21254152709107</v>
      </c>
      <c r="N7" s="106" t="n">
        <v>2.11727012918011</v>
      </c>
      <c r="O7" s="18" t="n">
        <f aca="false">O8/O5</f>
        <v>3.22492081934107</v>
      </c>
    </row>
    <row r="8" customFormat="false" ht="15.75" hidden="false" customHeight="false" outlineLevel="0" collapsed="false">
      <c r="A8" s="12" t="s">
        <v>182</v>
      </c>
      <c r="B8" s="105" t="s">
        <v>180</v>
      </c>
      <c r="C8" s="96" t="n">
        <f aca="false">C7*C5</f>
        <v>239031.343680813</v>
      </c>
      <c r="D8" s="96" t="n">
        <f aca="false">D7*D5</f>
        <v>16706.8424746873</v>
      </c>
      <c r="E8" s="96" t="n">
        <f aca="false">E7*E5</f>
        <v>122025.507623945</v>
      </c>
      <c r="F8" s="96" t="n">
        <f aca="false">F7*F5</f>
        <v>60221.0438416375</v>
      </c>
      <c r="G8" s="96" t="n">
        <f aca="false">G7*G5</f>
        <v>31621.8432707276</v>
      </c>
      <c r="H8" s="96" t="n">
        <f aca="false">H7*H5</f>
        <v>90050.5595638041</v>
      </c>
      <c r="I8" s="96" t="n">
        <f aca="false">I7*I5</f>
        <v>443445.855500753</v>
      </c>
      <c r="J8" s="96" t="n">
        <f aca="false">J7*J5</f>
        <v>748393.250041184</v>
      </c>
      <c r="K8" s="96" t="n">
        <f aca="false">K7*K5</f>
        <v>776219.023017655</v>
      </c>
      <c r="L8" s="96" t="n">
        <f aca="false">L7*L5</f>
        <v>369427.786396401</v>
      </c>
      <c r="M8" s="96" t="n">
        <f aca="false">M7*M5</f>
        <v>456098.918590802</v>
      </c>
      <c r="N8" s="96" t="n">
        <f aca="false">N7*N5</f>
        <v>178790.933226814</v>
      </c>
      <c r="O8" s="67" t="n">
        <f aca="false">SUM(C8:N8)</f>
        <v>3532032.90722922</v>
      </c>
    </row>
    <row r="10" customFormat="false" ht="15.75" hidden="false" customHeight="false" outlineLevel="0" collapsed="false">
      <c r="A10" s="12" t="s">
        <v>183</v>
      </c>
      <c r="B10" s="12"/>
      <c r="C10" s="105" t="s">
        <v>184</v>
      </c>
      <c r="D10" s="55" t="s">
        <v>76</v>
      </c>
      <c r="E10" s="55" t="s">
        <v>77</v>
      </c>
      <c r="F10" s="55" t="s">
        <v>78</v>
      </c>
      <c r="G10" s="55" t="s">
        <v>79</v>
      </c>
      <c r="H10" s="55" t="s">
        <v>80</v>
      </c>
      <c r="I10" s="55" t="s">
        <v>81</v>
      </c>
      <c r="J10" s="55" t="s">
        <v>82</v>
      </c>
      <c r="K10" s="55" t="s">
        <v>83</v>
      </c>
      <c r="L10" s="55" t="s">
        <v>84</v>
      </c>
      <c r="M10" s="55" t="s">
        <v>85</v>
      </c>
      <c r="N10" s="55" t="s">
        <v>86</v>
      </c>
      <c r="O10" s="55" t="s">
        <v>87</v>
      </c>
    </row>
    <row r="11" customFormat="false" ht="15.75" hidden="false" customHeight="false" outlineLevel="0" collapsed="false">
      <c r="A11" s="12" t="s">
        <v>147</v>
      </c>
      <c r="B11" s="12" t="s">
        <v>185</v>
      </c>
      <c r="C11" s="102" t="n">
        <v>50610007</v>
      </c>
      <c r="D11" s="67" t="n">
        <f aca="false">C6*'7Consumo Área - CALC'!C33</f>
        <v>680787.808623779</v>
      </c>
      <c r="E11" s="67" t="n">
        <f aca="false">D6*'7Consumo Área - CALC'!D33</f>
        <v>856963.329859269</v>
      </c>
      <c r="F11" s="67" t="n">
        <f aca="false">E6*'7Consumo Área - CALC'!E33</f>
        <v>933152.429378564</v>
      </c>
      <c r="G11" s="67" t="n">
        <f aca="false">F6*'7Consumo Área - CALC'!F33</f>
        <v>1026040.2672004</v>
      </c>
      <c r="H11" s="67" t="n">
        <f aca="false">G6*'7Consumo Área - CALC'!G33</f>
        <v>1036339.95177084</v>
      </c>
      <c r="I11" s="67" t="n">
        <f aca="false">H6*'7Consumo Área - CALC'!H33</f>
        <v>869014.002979815</v>
      </c>
      <c r="J11" s="67" t="n">
        <f aca="false">I6*'7Consumo Área - CALC'!I33</f>
        <v>1020005.87978013</v>
      </c>
      <c r="K11" s="67" t="n">
        <f aca="false">J6*'7Consumo Área - CALC'!J33</f>
        <v>917969.135956742</v>
      </c>
      <c r="L11" s="67" t="n">
        <f aca="false">K6*'7Consumo Área - CALC'!K33</f>
        <v>870903.880102591</v>
      </c>
      <c r="M11" s="67" t="n">
        <f aca="false">L6*'7Consumo Área - CALC'!L33</f>
        <v>890578.302846606</v>
      </c>
      <c r="N11" s="67" t="n">
        <f aca="false">M6*'7Consumo Área - CALC'!M33</f>
        <v>881944.498530163</v>
      </c>
      <c r="O11" s="67" t="n">
        <f aca="false">N6*'7Consumo Área - CALC'!N33</f>
        <v>934209.092654587</v>
      </c>
    </row>
    <row r="12" customFormat="false" ht="15.75" hidden="false" customHeight="false" outlineLevel="0" collapsed="false">
      <c r="A12" s="12"/>
      <c r="B12" s="12" t="s">
        <v>181</v>
      </c>
      <c r="C12" s="102" t="n">
        <v>50610008</v>
      </c>
      <c r="D12" s="67" t="n">
        <f aca="false">C8*'7Consumo Área - CALC'!C33</f>
        <v>141139.627587382</v>
      </c>
      <c r="E12" s="67" t="n">
        <f aca="false">D8*'7Consumo Área - CALC'!D33</f>
        <v>10036.1740559884</v>
      </c>
      <c r="F12" s="67" t="n">
        <f aca="false">E8*'7Consumo Área - CALC'!E33</f>
        <v>72181.2714976021</v>
      </c>
      <c r="G12" s="67" t="n">
        <f aca="false">F8*'7Consumo Área - CALC'!F33</f>
        <v>34340.6190369854</v>
      </c>
      <c r="H12" s="67" t="n">
        <f aca="false">G8*'7Consumo Área - CALC'!G33</f>
        <v>18036.4144759775</v>
      </c>
      <c r="I12" s="67" t="n">
        <f aca="false">H8*'7Consumo Área - CALC'!H33</f>
        <v>50642.2297422198</v>
      </c>
      <c r="J12" s="67" t="n">
        <f aca="false">I8*'7Consumo Área - CALC'!I33</f>
        <v>246420.133147552</v>
      </c>
      <c r="K12" s="67" t="n">
        <f aca="false">J8*'7Consumo Área - CALC'!J33</f>
        <v>428025.82737857</v>
      </c>
      <c r="L12" s="67" t="n">
        <f aca="false">K8*'7Consumo Área - CALC'!K33</f>
        <v>438715.222064567</v>
      </c>
      <c r="M12" s="67" t="n">
        <f aca="false">L8*'7Consumo Área - CALC'!L33</f>
        <v>208846.575332612</v>
      </c>
      <c r="N12" s="67" t="n">
        <f aca="false">M8*'7Consumo Área - CALC'!M33</f>
        <v>271555.935778721</v>
      </c>
      <c r="O12" s="67" t="n">
        <f aca="false">N8*'7Consumo Área - CALC'!N33</f>
        <v>103963.001183154</v>
      </c>
    </row>
    <row r="13" customFormat="false" ht="15.75" hidden="false" customHeight="false" outlineLevel="0" collapsed="false">
      <c r="A13" s="12"/>
      <c r="B13" s="12" t="s">
        <v>186</v>
      </c>
      <c r="C13" s="105"/>
      <c r="D13" s="67" t="n">
        <f aca="false">D12+D11</f>
        <v>821927.436211162</v>
      </c>
      <c r="E13" s="67" t="n">
        <f aca="false">E12+E11</f>
        <v>866999.503915258</v>
      </c>
      <c r="F13" s="67" t="n">
        <f aca="false">F12+F11</f>
        <v>1005333.70087617</v>
      </c>
      <c r="G13" s="67" t="n">
        <f aca="false">G12+G11</f>
        <v>1060380.88623739</v>
      </c>
      <c r="H13" s="67" t="n">
        <f aca="false">H12+H11</f>
        <v>1054376.36624682</v>
      </c>
      <c r="I13" s="67" t="n">
        <f aca="false">I12+I11</f>
        <v>919656.232722035</v>
      </c>
      <c r="J13" s="67" t="n">
        <f aca="false">J12+J11</f>
        <v>1266426.01292768</v>
      </c>
      <c r="K13" s="67" t="n">
        <f aca="false">K12+K11</f>
        <v>1345994.96333531</v>
      </c>
      <c r="L13" s="67" t="n">
        <f aca="false">L12+L11</f>
        <v>1309619.10216716</v>
      </c>
      <c r="M13" s="67" t="n">
        <f aca="false">M12+M11</f>
        <v>1099424.87817922</v>
      </c>
      <c r="N13" s="67" t="n">
        <f aca="false">N12+N11</f>
        <v>1153500.43430888</v>
      </c>
      <c r="O13" s="67" t="n">
        <f aca="false">O12+O11</f>
        <v>1038172.09383774</v>
      </c>
    </row>
    <row r="14" customFormat="false" ht="15.75" hidden="false" customHeight="false" outlineLevel="0" collapsed="false">
      <c r="A14" s="12" t="s">
        <v>148</v>
      </c>
      <c r="B14" s="12" t="s">
        <v>176</v>
      </c>
      <c r="C14" s="102" t="n">
        <v>50610007</v>
      </c>
      <c r="D14" s="67" t="n">
        <f aca="false">C6*'7Consumo Área - CALC'!C34</f>
        <v>472181.257814409</v>
      </c>
      <c r="E14" s="67" t="n">
        <f aca="false">D6*'7Consumo Área - CALC'!D34</f>
        <v>569591.37900407</v>
      </c>
      <c r="F14" s="67" t="n">
        <f aca="false">E6*'7Consumo Área - CALC'!E34</f>
        <v>644381.417323199</v>
      </c>
      <c r="G14" s="67" t="n">
        <f aca="false">F6*'7Consumo Área - CALC'!F34</f>
        <v>773263.811966396</v>
      </c>
      <c r="H14" s="67" t="n">
        <f aca="false">G6*'7Consumo Área - CALC'!G34</f>
        <v>780594.316053743</v>
      </c>
      <c r="I14" s="67" t="n">
        <f aca="false">H6*'7Consumo Área - CALC'!H34</f>
        <v>676241.757587008</v>
      </c>
      <c r="J14" s="67" t="n">
        <f aca="false">I6*'7Consumo Área - CALC'!I34</f>
        <v>815547.791088389</v>
      </c>
      <c r="K14" s="67" t="n">
        <f aca="false">J6*'7Consumo Área - CALC'!J34</f>
        <v>687078.646565365</v>
      </c>
      <c r="L14" s="67" t="n">
        <f aca="false">K6*'7Consumo Área - CALC'!K34</f>
        <v>669986.713513575</v>
      </c>
      <c r="M14" s="67" t="n">
        <f aca="false">L6*'7Consumo Área - CALC'!L34</f>
        <v>684761.730904523</v>
      </c>
      <c r="N14" s="67" t="n">
        <f aca="false">M6*'7Consumo Área - CALC'!M34</f>
        <v>599348.594486568</v>
      </c>
      <c r="O14" s="67" t="n">
        <f aca="false">N6*'7Consumo Área - CALC'!N34</f>
        <v>672402.044036555</v>
      </c>
    </row>
    <row r="15" customFormat="false" ht="15.75" hidden="false" customHeight="false" outlineLevel="0" collapsed="false">
      <c r="A15" s="12"/>
      <c r="B15" s="12" t="s">
        <v>181</v>
      </c>
      <c r="C15" s="102" t="n">
        <v>50610008</v>
      </c>
      <c r="D15" s="67" t="n">
        <f aca="false">C8*'7Consumo Área - CALC'!C34</f>
        <v>97891.7160934303</v>
      </c>
      <c r="E15" s="67" t="n">
        <f aca="false">D8*'7Consumo Área - CALC'!D34</f>
        <v>6670.6684186989</v>
      </c>
      <c r="F15" s="67" t="n">
        <f aca="false">E8*'7Consumo Área - CALC'!E34</f>
        <v>49844.2361263427</v>
      </c>
      <c r="G15" s="67" t="n">
        <f aca="false">F8*'7Consumo Área - CALC'!F34</f>
        <v>25880.4248046521</v>
      </c>
      <c r="H15" s="67" t="n">
        <f aca="false">G8*'7Consumo Área - CALC'!G34</f>
        <v>13585.4287947501</v>
      </c>
      <c r="I15" s="67" t="n">
        <f aca="false">H8*'7Consumo Área - CALC'!H34</f>
        <v>39408.3298215843</v>
      </c>
      <c r="J15" s="67" t="n">
        <f aca="false">I8*'7Consumo Área - CALC'!I34</f>
        <v>197025.722353202</v>
      </c>
      <c r="K15" s="67" t="n">
        <f aca="false">J8*'7Consumo Área - CALC'!J34</f>
        <v>320367.422662614</v>
      </c>
      <c r="L15" s="67" t="n">
        <f aca="false">K8*'7Consumo Área - CALC'!K34</f>
        <v>337503.800953088</v>
      </c>
      <c r="M15" s="67" t="n">
        <f aca="false">L8*'7Consumo Área - CALC'!L34</f>
        <v>160581.211063789</v>
      </c>
      <c r="N15" s="67" t="n">
        <f aca="false">M8*'7Consumo Área - CALC'!M34</f>
        <v>184542.982812081</v>
      </c>
      <c r="O15" s="67" t="n">
        <f aca="false">N8*'7Consumo Área - CALC'!N34</f>
        <v>74827.9320436606</v>
      </c>
    </row>
    <row r="16" customFormat="false" ht="15.75" hidden="false" customHeight="false" outlineLevel="0" collapsed="false">
      <c r="A16" s="12"/>
      <c r="B16" s="12" t="s">
        <v>186</v>
      </c>
      <c r="C16" s="105"/>
      <c r="D16" s="67" t="n">
        <f aca="false">D14+D15</f>
        <v>570072.97390784</v>
      </c>
      <c r="E16" s="67" t="n">
        <f aca="false">E14+E15</f>
        <v>576262.047422768</v>
      </c>
      <c r="F16" s="67" t="n">
        <f aca="false">F14+F15</f>
        <v>694225.653449541</v>
      </c>
      <c r="G16" s="67" t="n">
        <f aca="false">G14+G15</f>
        <v>799144.236771049</v>
      </c>
      <c r="H16" s="67" t="n">
        <f aca="false">H14+H15</f>
        <v>794179.744848493</v>
      </c>
      <c r="I16" s="67" t="n">
        <f aca="false">I14+I15</f>
        <v>715650.087408593</v>
      </c>
      <c r="J16" s="67" t="n">
        <f aca="false">J14+J15</f>
        <v>1012573.51344159</v>
      </c>
      <c r="K16" s="67" t="n">
        <f aca="false">K14+K15</f>
        <v>1007446.06922798</v>
      </c>
      <c r="L16" s="67" t="n">
        <f aca="false">L14+L15</f>
        <v>1007490.51446666</v>
      </c>
      <c r="M16" s="67" t="n">
        <f aca="false">M14+M15</f>
        <v>845342.941968312</v>
      </c>
      <c r="N16" s="67" t="n">
        <f aca="false">N14+N15</f>
        <v>783891.577298649</v>
      </c>
      <c r="O16" s="67" t="n">
        <f aca="false">O14+O15</f>
        <v>747229.976080216</v>
      </c>
    </row>
  </sheetData>
  <mergeCells count="1">
    <mergeCell ref="A1:B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2"/>
  <sheetViews>
    <sheetView showFormulas="false" showGridLines="true" showRowColHeaders="true" showZeros="true" rightToLeft="false" tabSelected="false" showOutlineSymbols="true" defaultGridColor="true" view="normal" topLeftCell="A1" colorId="64" zoomScale="140" zoomScaleNormal="140" zoomScalePageLayoutView="100" workbookViewId="0">
      <selection pane="topLeft" activeCell="N32" activeCellId="0" sqref="N32"/>
    </sheetView>
  </sheetViews>
  <sheetFormatPr defaultColWidth="11" defaultRowHeight="15.75" zeroHeight="false" outlineLevelRow="0" outlineLevelCol="0"/>
  <cols>
    <col collapsed="false" customWidth="true" hidden="false" outlineLevel="0" max="1" min="1" style="0" width="25.88"/>
  </cols>
  <sheetData>
    <row r="1" customFormat="false" ht="15.75" hidden="false" customHeight="false" outlineLevel="0" collapsed="false">
      <c r="A1" s="77" t="s">
        <v>187</v>
      </c>
      <c r="B1" s="77"/>
      <c r="C1" s="77"/>
      <c r="D1" s="77"/>
      <c r="E1" s="77"/>
      <c r="F1" s="77"/>
      <c r="G1" s="77"/>
      <c r="H1" s="77"/>
      <c r="I1" s="77"/>
      <c r="J1" s="77"/>
      <c r="K1" s="77"/>
      <c r="L1" s="77"/>
      <c r="M1" s="77"/>
      <c r="N1" s="77"/>
    </row>
    <row r="2" customFormat="false" ht="15.75" hidden="false" customHeight="false" outlineLevel="0" collapsed="false">
      <c r="A2" s="77" t="s">
        <v>147</v>
      </c>
      <c r="B2" s="77"/>
      <c r="C2" s="77"/>
      <c r="D2" s="77"/>
      <c r="E2" s="77"/>
      <c r="F2" s="77"/>
      <c r="G2" s="77"/>
      <c r="H2" s="77"/>
      <c r="I2" s="77"/>
      <c r="J2" s="77"/>
      <c r="K2" s="77"/>
      <c r="L2" s="77"/>
      <c r="M2" s="77"/>
      <c r="N2" s="77"/>
    </row>
    <row r="3" customFormat="false" ht="15.75" hidden="false" customHeight="false" outlineLevel="0" collapsed="false">
      <c r="A3" s="105" t="s">
        <v>188</v>
      </c>
      <c r="B3" s="105" t="s">
        <v>59</v>
      </c>
      <c r="C3" s="77" t="s">
        <v>76</v>
      </c>
      <c r="D3" s="55" t="s">
        <v>77</v>
      </c>
      <c r="E3" s="55" t="s">
        <v>78</v>
      </c>
      <c r="F3" s="55" t="s">
        <v>79</v>
      </c>
      <c r="G3" s="55" t="s">
        <v>80</v>
      </c>
      <c r="H3" s="55" t="s">
        <v>81</v>
      </c>
      <c r="I3" s="55" t="s">
        <v>82</v>
      </c>
      <c r="J3" s="55" t="s">
        <v>83</v>
      </c>
      <c r="K3" s="55" t="s">
        <v>84</v>
      </c>
      <c r="L3" s="55" t="s">
        <v>85</v>
      </c>
      <c r="M3" s="55" t="s">
        <v>86</v>
      </c>
      <c r="N3" s="55" t="s">
        <v>87</v>
      </c>
    </row>
    <row r="4" customFormat="false" ht="15.75" hidden="false" customHeight="false" outlineLevel="0" collapsed="false">
      <c r="A4" s="105" t="s">
        <v>189</v>
      </c>
      <c r="B4" s="107" t="s">
        <v>149</v>
      </c>
      <c r="C4" s="108" t="n">
        <v>0.03</v>
      </c>
      <c r="D4" s="108" t="n">
        <v>0.03</v>
      </c>
      <c r="E4" s="108" t="n">
        <v>0.03</v>
      </c>
      <c r="F4" s="108" t="n">
        <v>0.03</v>
      </c>
      <c r="G4" s="108" t="n">
        <v>0.03</v>
      </c>
      <c r="H4" s="108" t="n">
        <v>0.03</v>
      </c>
      <c r="I4" s="108" t="n">
        <v>0.03</v>
      </c>
      <c r="J4" s="108" t="n">
        <v>0.03</v>
      </c>
      <c r="K4" s="108" t="n">
        <v>0.03</v>
      </c>
      <c r="L4" s="108" t="n">
        <v>0.03</v>
      </c>
      <c r="M4" s="108" t="n">
        <v>0.03</v>
      </c>
      <c r="N4" s="108" t="n">
        <v>0.03</v>
      </c>
    </row>
    <row r="5" customFormat="false" ht="15.75" hidden="false" customHeight="false" outlineLevel="0" collapsed="false">
      <c r="A5" s="109" t="s">
        <v>190</v>
      </c>
      <c r="B5" s="107" t="s">
        <v>140</v>
      </c>
      <c r="C5" s="67" t="n">
        <f aca="false">'7Consumo Área - CALC'!C31</f>
        <v>68893.754767126</v>
      </c>
      <c r="D5" s="67" t="n">
        <f aca="false">'7Consumo Área - CALC'!D31</f>
        <v>68542.3198699294</v>
      </c>
      <c r="E5" s="67" t="n">
        <f aca="false">'7Consumo Área - CALC'!E31</f>
        <v>69269.7877421806</v>
      </c>
      <c r="F5" s="67" t="n">
        <f aca="false">'7Consumo Área - CALC'!F31</f>
        <v>69524.2890081087</v>
      </c>
      <c r="G5" s="67" t="n">
        <f aca="false">'7Consumo Área - CALC'!G31</f>
        <v>69744.4825673562</v>
      </c>
      <c r="H5" s="67" t="n">
        <f aca="false">'7Consumo Área - CALC'!H31</f>
        <v>69975.4563816349</v>
      </c>
      <c r="I5" s="67" t="n">
        <f aca="false">'7Consumo Área - CALC'!I31</f>
        <v>70251.4991771082</v>
      </c>
      <c r="J5" s="67" t="n">
        <f aca="false">'7Consumo Área - CALC'!J31</f>
        <v>69846.9322295664</v>
      </c>
      <c r="K5" s="67" t="n">
        <f aca="false">'7Consumo Área - CALC'!K31</f>
        <v>69830.1716492778</v>
      </c>
      <c r="L5" s="67" t="n">
        <f aca="false">'7Consumo Área - CALC'!L31</f>
        <v>69973.5563694674</v>
      </c>
      <c r="M5" s="67" t="n">
        <f aca="false">'7Consumo Área - CALC'!M31</f>
        <v>68848.3193508513</v>
      </c>
      <c r="N5" s="67" t="n">
        <f aca="false">'7Consumo Área - CALC'!N31</f>
        <v>69418.838415331</v>
      </c>
    </row>
    <row r="6" customFormat="false" ht="15.75" hidden="false" customHeight="false" outlineLevel="0" collapsed="false">
      <c r="A6" s="109" t="s">
        <v>191</v>
      </c>
      <c r="B6" s="107" t="s">
        <v>140</v>
      </c>
      <c r="C6" s="67" t="n">
        <f aca="false">'9Geração Própria - CALC'!C15</f>
        <v>23979.1671</v>
      </c>
      <c r="D6" s="67" t="n">
        <f aca="false">'9Geração Própria - CALC'!D15</f>
        <v>21368.45235</v>
      </c>
      <c r="E6" s="67" t="n">
        <f aca="false">'9Geração Própria - CALC'!E15</f>
        <v>24144.72795</v>
      </c>
      <c r="F6" s="67" t="n">
        <f aca="false">'9Geração Própria - CALC'!F15</f>
        <v>24559.14825</v>
      </c>
      <c r="G6" s="67" t="n">
        <f aca="false">'9Geração Própria - CALC'!G15</f>
        <v>24972.53325</v>
      </c>
      <c r="H6" s="67" t="n">
        <f aca="false">'9Geração Própria - CALC'!H15</f>
        <v>18891.6525</v>
      </c>
      <c r="I6" s="67" t="n">
        <f aca="false">'9Geração Própria - CALC'!I15</f>
        <v>16420.194</v>
      </c>
      <c r="J6" s="67" t="n">
        <f aca="false">'9Geração Própria - CALC'!J15</f>
        <v>15320.57205</v>
      </c>
      <c r="K6" s="67" t="n">
        <f aca="false">'9Geração Própria - CALC'!K15</f>
        <v>15407.4585</v>
      </c>
      <c r="L6" s="67" t="n">
        <f aca="false">'9Geração Própria - CALC'!L15</f>
        <v>16528.92045</v>
      </c>
      <c r="M6" s="67" t="n">
        <f aca="false">'9Geração Própria - CALC'!M15</f>
        <v>17382.7122</v>
      </c>
      <c r="N6" s="67" t="n">
        <f aca="false">'9Geração Própria - CALC'!N15</f>
        <v>21189.3402</v>
      </c>
    </row>
    <row r="7" customFormat="false" ht="15.75" hidden="false" customHeight="false" outlineLevel="0" collapsed="false">
      <c r="A7" s="109" t="s">
        <v>192</v>
      </c>
      <c r="B7" s="107" t="s">
        <v>140</v>
      </c>
      <c r="C7" s="67" t="n">
        <f aca="false">C5*C4</f>
        <v>2066.81264301378</v>
      </c>
      <c r="D7" s="67" t="n">
        <f aca="false">D5*D4</f>
        <v>2056.26959609788</v>
      </c>
      <c r="E7" s="67" t="n">
        <f aca="false">E5*E4</f>
        <v>2078.09363226542</v>
      </c>
      <c r="F7" s="67" t="n">
        <f aca="false">F5*F4</f>
        <v>2085.72867024326</v>
      </c>
      <c r="G7" s="67" t="n">
        <f aca="false">G5*G4</f>
        <v>2092.33447702069</v>
      </c>
      <c r="H7" s="67" t="n">
        <f aca="false">H5*H4</f>
        <v>2099.26369144905</v>
      </c>
      <c r="I7" s="67" t="n">
        <f aca="false">I5*I4</f>
        <v>2107.54497531325</v>
      </c>
      <c r="J7" s="67" t="n">
        <f aca="false">J5*J4</f>
        <v>2095.40796688699</v>
      </c>
      <c r="K7" s="67" t="n">
        <f aca="false">K5*K4</f>
        <v>2094.90514947833</v>
      </c>
      <c r="L7" s="67" t="n">
        <f aca="false">L5*L4</f>
        <v>2099.20669108402</v>
      </c>
      <c r="M7" s="67" t="n">
        <f aca="false">M5*M4</f>
        <v>2065.44958052554</v>
      </c>
      <c r="N7" s="67" t="n">
        <f aca="false">N5*N4</f>
        <v>2082.56515245993</v>
      </c>
    </row>
    <row r="8" customFormat="false" ht="15.75" hidden="false" customHeight="false" outlineLevel="0" collapsed="false">
      <c r="A8" s="109" t="s">
        <v>193</v>
      </c>
      <c r="B8" s="110" t="s">
        <v>140</v>
      </c>
      <c r="C8" s="23" t="n">
        <v>0</v>
      </c>
      <c r="D8" s="23" t="n">
        <v>0</v>
      </c>
      <c r="E8" s="23" t="n">
        <v>0</v>
      </c>
      <c r="F8" s="23" t="n">
        <v>0</v>
      </c>
      <c r="G8" s="23" t="n">
        <v>0</v>
      </c>
      <c r="H8" s="23" t="n">
        <v>0</v>
      </c>
      <c r="I8" s="23" t="n">
        <v>0</v>
      </c>
      <c r="J8" s="23" t="n">
        <v>0</v>
      </c>
      <c r="K8" s="23" t="n">
        <v>0</v>
      </c>
      <c r="L8" s="23" t="n">
        <v>0</v>
      </c>
      <c r="M8" s="23" t="n">
        <v>0</v>
      </c>
      <c r="N8" s="23" t="n">
        <v>0</v>
      </c>
    </row>
    <row r="9" customFormat="false" ht="15.75" hidden="false" customHeight="false" outlineLevel="0" collapsed="false">
      <c r="A9" s="109" t="s">
        <v>194</v>
      </c>
      <c r="B9" s="107" t="s">
        <v>140</v>
      </c>
      <c r="C9" s="67" t="n">
        <f aca="false">C5+C7-C8</f>
        <v>70960.5674101398</v>
      </c>
      <c r="D9" s="67" t="n">
        <f aca="false">D5+D7-D8</f>
        <v>70598.5894660273</v>
      </c>
      <c r="E9" s="67" t="n">
        <f aca="false">E5+E7-E8</f>
        <v>71347.881374446</v>
      </c>
      <c r="F9" s="67" t="n">
        <f aca="false">F5+F7-F8</f>
        <v>71610.017678352</v>
      </c>
      <c r="G9" s="67" t="n">
        <f aca="false">G5+G7-G8</f>
        <v>71836.8170443769</v>
      </c>
      <c r="H9" s="67" t="n">
        <f aca="false">H5+H7-H8</f>
        <v>72074.720073084</v>
      </c>
      <c r="I9" s="67" t="n">
        <f aca="false">I5+I7-I8</f>
        <v>72359.0441524215</v>
      </c>
      <c r="J9" s="67" t="n">
        <f aca="false">J5+J7-J8</f>
        <v>71942.3401964534</v>
      </c>
      <c r="K9" s="67" t="n">
        <f aca="false">K5+K7-K8</f>
        <v>71925.0767987561</v>
      </c>
      <c r="L9" s="67" t="n">
        <f aca="false">L5+L7-L8</f>
        <v>72072.7630605515</v>
      </c>
      <c r="M9" s="67" t="n">
        <f aca="false">M5+M7-M8</f>
        <v>70913.7689313768</v>
      </c>
      <c r="N9" s="67" t="n">
        <f aca="false">N5+N7-N8</f>
        <v>71501.4035677909</v>
      </c>
    </row>
    <row r="10" customFormat="false" ht="15.75" hidden="false" customHeight="false" outlineLevel="0" collapsed="false">
      <c r="A10" s="109" t="s">
        <v>195</v>
      </c>
      <c r="B10" s="107" t="s">
        <v>140</v>
      </c>
      <c r="C10" s="67" t="n">
        <f aca="false">IF(C9-C6&lt;0,,C9-C6)</f>
        <v>46981.4003101397</v>
      </c>
      <c r="D10" s="67" t="n">
        <f aca="false">IF(D9-D6&lt;0,,D9-D6)</f>
        <v>49230.1371160273</v>
      </c>
      <c r="E10" s="67" t="n">
        <f aca="false">IF(E9-E6&lt;0,,E9-E6)</f>
        <v>47203.153424446</v>
      </c>
      <c r="F10" s="67" t="n">
        <f aca="false">IF(F9-F6&lt;0,,F9-F6)</f>
        <v>47050.869428352</v>
      </c>
      <c r="G10" s="67" t="n">
        <f aca="false">IF(G9-G6&lt;0,,G9-G6)</f>
        <v>46864.2837943769</v>
      </c>
      <c r="H10" s="67" t="n">
        <f aca="false">IF(H9-H6&lt;0,,H9-H6)</f>
        <v>53183.067573084</v>
      </c>
      <c r="I10" s="67" t="n">
        <f aca="false">IF(I9-I6&lt;0,,I9-I6)</f>
        <v>55938.8501524215</v>
      </c>
      <c r="J10" s="67" t="n">
        <f aca="false">IF(J9-J6&lt;0,,J9-J6)</f>
        <v>56621.7681464534</v>
      </c>
      <c r="K10" s="67" t="n">
        <f aca="false">IF(K9-K6&lt;0,,K9-K6)</f>
        <v>56517.6182987561</v>
      </c>
      <c r="L10" s="67" t="n">
        <f aca="false">IF(L9-L6&lt;0,,L9-L6)</f>
        <v>55543.8426105515</v>
      </c>
      <c r="M10" s="67" t="n">
        <f aca="false">IF(M9-M6&lt;0,,M9-M6)</f>
        <v>53531.0567313768</v>
      </c>
      <c r="N10" s="67" t="n">
        <f aca="false">IF(N9-N6&lt;0,,N9-N6)</f>
        <v>50312.0633677909</v>
      </c>
    </row>
    <row r="11" customFormat="false" ht="15.75" hidden="false" customHeight="false" outlineLevel="0" collapsed="false">
      <c r="A11" s="109" t="s">
        <v>196</v>
      </c>
      <c r="B11" s="107" t="s">
        <v>140</v>
      </c>
      <c r="C11" s="111" t="n">
        <v>46981.4003101397</v>
      </c>
      <c r="D11" s="111" t="n">
        <v>49230.1371160273</v>
      </c>
      <c r="E11" s="111" t="n">
        <v>47203.153424446</v>
      </c>
      <c r="F11" s="111" t="n">
        <v>47050.869428352</v>
      </c>
      <c r="G11" s="111" t="n">
        <v>46864.2837943769</v>
      </c>
      <c r="H11" s="111" t="n">
        <v>53183.067573084</v>
      </c>
      <c r="I11" s="111" t="n">
        <v>55938.8501524215</v>
      </c>
      <c r="J11" s="111" t="n">
        <v>56621.7681464534</v>
      </c>
      <c r="K11" s="111" t="n">
        <v>56517.6182987561</v>
      </c>
      <c r="L11" s="111" t="n">
        <v>55543.8426105515</v>
      </c>
      <c r="M11" s="111" t="n">
        <v>53531.0567313768</v>
      </c>
      <c r="N11" s="111" t="n">
        <v>50312.0633677909</v>
      </c>
    </row>
    <row r="12" customFormat="false" ht="15.75" hidden="false" customHeight="false" outlineLevel="0" collapsed="false">
      <c r="A12" s="112"/>
      <c r="B12" s="112"/>
      <c r="C12" s="112"/>
      <c r="D12" s="112"/>
      <c r="E12" s="112"/>
      <c r="F12" s="112"/>
      <c r="G12" s="112"/>
      <c r="H12" s="112"/>
      <c r="I12" s="112"/>
      <c r="J12" s="112"/>
      <c r="K12" s="112"/>
      <c r="L12" s="112"/>
      <c r="M12" s="112"/>
      <c r="N12" s="112"/>
    </row>
    <row r="13" customFormat="false" ht="15.75" hidden="false" customHeight="false" outlineLevel="0" collapsed="false">
      <c r="A13" s="77" t="s">
        <v>148</v>
      </c>
      <c r="B13" s="77"/>
      <c r="C13" s="77"/>
      <c r="D13" s="77"/>
      <c r="E13" s="77"/>
      <c r="F13" s="77"/>
      <c r="G13" s="77"/>
      <c r="H13" s="77"/>
      <c r="I13" s="77"/>
      <c r="J13" s="77"/>
      <c r="K13" s="77"/>
      <c r="L13" s="77"/>
      <c r="M13" s="77"/>
      <c r="N13" s="77"/>
    </row>
    <row r="14" customFormat="false" ht="15.75" hidden="false" customHeight="false" outlineLevel="0" collapsed="false">
      <c r="A14" s="105" t="s">
        <v>188</v>
      </c>
      <c r="B14" s="105" t="s">
        <v>59</v>
      </c>
      <c r="C14" s="77" t="s">
        <v>76</v>
      </c>
      <c r="D14" s="55" t="s">
        <v>77</v>
      </c>
      <c r="E14" s="55" t="s">
        <v>78</v>
      </c>
      <c r="F14" s="55" t="s">
        <v>79</v>
      </c>
      <c r="G14" s="55" t="s">
        <v>80</v>
      </c>
      <c r="H14" s="55" t="s">
        <v>81</v>
      </c>
      <c r="I14" s="55" t="s">
        <v>82</v>
      </c>
      <c r="J14" s="55" t="s">
        <v>83</v>
      </c>
      <c r="K14" s="55" t="s">
        <v>84</v>
      </c>
      <c r="L14" s="55" t="s">
        <v>85</v>
      </c>
      <c r="M14" s="55" t="s">
        <v>86</v>
      </c>
      <c r="N14" s="55" t="s">
        <v>87</v>
      </c>
    </row>
    <row r="15" customFormat="false" ht="15.75" hidden="false" customHeight="false" outlineLevel="0" collapsed="false">
      <c r="A15" s="105" t="s">
        <v>189</v>
      </c>
      <c r="B15" s="107" t="s">
        <v>149</v>
      </c>
      <c r="C15" s="108" t="n">
        <v>0.03</v>
      </c>
      <c r="D15" s="108" t="n">
        <v>0.03</v>
      </c>
      <c r="E15" s="108" t="n">
        <v>0.03</v>
      </c>
      <c r="F15" s="108" t="n">
        <v>0.03</v>
      </c>
      <c r="G15" s="108" t="n">
        <v>0.03</v>
      </c>
      <c r="H15" s="108" t="n">
        <v>0.03</v>
      </c>
      <c r="I15" s="108" t="n">
        <v>0.03</v>
      </c>
      <c r="J15" s="108" t="n">
        <v>0.03</v>
      </c>
      <c r="K15" s="108" t="n">
        <v>0.03</v>
      </c>
      <c r="L15" s="108" t="n">
        <v>0.03</v>
      </c>
      <c r="M15" s="108" t="n">
        <v>0.03</v>
      </c>
      <c r="N15" s="108" t="n">
        <v>0.03</v>
      </c>
    </row>
    <row r="16" customFormat="false" ht="15.75" hidden="false" customHeight="false" outlineLevel="0" collapsed="false">
      <c r="A16" s="109" t="s">
        <v>190</v>
      </c>
      <c r="B16" s="107" t="s">
        <v>140</v>
      </c>
      <c r="C16" s="67" t="n">
        <f aca="false">'7Consumo Área - CALC'!C32</f>
        <v>47783.3759204053</v>
      </c>
      <c r="D16" s="67" t="n">
        <f aca="false">'7Consumo Área - CALC'!D32</f>
        <v>45557.5088624416</v>
      </c>
      <c r="E16" s="67" t="n">
        <f aca="false">'7Consumo Área - CALC'!E32</f>
        <v>47833.732836884</v>
      </c>
      <c r="F16" s="67" t="n">
        <f aca="false">'7Consumo Área - CALC'!F32</f>
        <v>52396.2055498582</v>
      </c>
      <c r="G16" s="67" t="n">
        <f aca="false">'7Consumo Área - CALC'!G32</f>
        <v>52533.0964758812</v>
      </c>
      <c r="H16" s="67" t="n">
        <f aca="false">'7Consumo Área - CALC'!H32</f>
        <v>54452.891954802</v>
      </c>
      <c r="I16" s="67" t="n">
        <f aca="false">'7Consumo Área - CALC'!I32</f>
        <v>56169.7301067408</v>
      </c>
      <c r="J16" s="67" t="n">
        <f aca="false">'7Consumo Área - CALC'!J32</f>
        <v>52278.8117631165</v>
      </c>
      <c r="K16" s="67" t="n">
        <f aca="false">'7Consumo Área - CALC'!K32</f>
        <v>53720.3797988329</v>
      </c>
      <c r="L16" s="67" t="n">
        <f aca="false">'7Consumo Área - CALC'!L32</f>
        <v>53802.3590109344</v>
      </c>
      <c r="M16" s="67" t="n">
        <f aca="false">'7Consumo Área - CALC'!M32</f>
        <v>46787.6873255237</v>
      </c>
      <c r="N16" s="67" t="n">
        <f aca="false">'7Consumo Área - CALC'!N32</f>
        <v>49964.5841729891</v>
      </c>
    </row>
    <row r="17" customFormat="false" ht="15.75" hidden="false" customHeight="false" outlineLevel="0" collapsed="false">
      <c r="A17" s="109" t="s">
        <v>197</v>
      </c>
      <c r="B17" s="107" t="s">
        <v>140</v>
      </c>
      <c r="C17" s="67" t="n">
        <f aca="false">'9Geração Própria - CALC'!C17</f>
        <v>13943</v>
      </c>
      <c r="D17" s="67" t="n">
        <f aca="false">'9Geração Própria - CALC'!D17</f>
        <v>12192</v>
      </c>
      <c r="E17" s="67" t="n">
        <f aca="false">'9Geração Própria - CALC'!E17</f>
        <v>13483</v>
      </c>
      <c r="F17" s="67" t="n">
        <f aca="false">'9Geração Própria - CALC'!F17</f>
        <v>9537</v>
      </c>
      <c r="G17" s="67" t="n">
        <f aca="false">'9Geração Própria - CALC'!G17</f>
        <v>9350</v>
      </c>
      <c r="H17" s="67" t="n">
        <f aca="false">'9Geração Própria - CALC'!H17</f>
        <v>6545</v>
      </c>
      <c r="I17" s="67" t="n">
        <f aca="false">'9Geração Própria - CALC'!I17</f>
        <v>5891</v>
      </c>
      <c r="J17" s="67" t="n">
        <f aca="false">'9Geração Própria - CALC'!J17</f>
        <v>5830</v>
      </c>
      <c r="K17" s="67" t="n">
        <f aca="false">'9Geração Própria - CALC'!K17</f>
        <v>4930</v>
      </c>
      <c r="L17" s="67" t="n">
        <f aca="false">'9Geração Própria - CALC'!L17</f>
        <v>5800</v>
      </c>
      <c r="M17" s="67" t="n">
        <f aca="false">'9Geração Própria - CALC'!M17</f>
        <v>10753</v>
      </c>
      <c r="N17" s="67" t="n">
        <f aca="false">'9Geração Própria - CALC'!N17</f>
        <v>13750</v>
      </c>
    </row>
    <row r="18" customFormat="false" ht="15.75" hidden="false" customHeight="false" outlineLevel="0" collapsed="false">
      <c r="A18" s="109" t="s">
        <v>192</v>
      </c>
      <c r="B18" s="107" t="s">
        <v>140</v>
      </c>
      <c r="C18" s="67" t="n">
        <f aca="false">C16*C15</f>
        <v>1433.50127761216</v>
      </c>
      <c r="D18" s="67" t="n">
        <f aca="false">D16*D15</f>
        <v>1366.72526587325</v>
      </c>
      <c r="E18" s="67" t="n">
        <f aca="false">E16*E15</f>
        <v>1435.01198510652</v>
      </c>
      <c r="F18" s="67" t="n">
        <f aca="false">F16*F15</f>
        <v>1571.88616649575</v>
      </c>
      <c r="G18" s="67" t="n">
        <f aca="false">G16*G15</f>
        <v>1575.99289427644</v>
      </c>
      <c r="H18" s="67" t="n">
        <f aca="false">H16*H15</f>
        <v>1633.58675864406</v>
      </c>
      <c r="I18" s="67" t="n">
        <f aca="false">I16*I15</f>
        <v>1685.09190320222</v>
      </c>
      <c r="J18" s="67" t="n">
        <f aca="false">J16*J15</f>
        <v>1568.3643528935</v>
      </c>
      <c r="K18" s="67" t="n">
        <f aca="false">K16*K15</f>
        <v>1611.61139396499</v>
      </c>
      <c r="L18" s="67" t="n">
        <f aca="false">L16*L15</f>
        <v>1614.07077032803</v>
      </c>
      <c r="M18" s="67" t="n">
        <f aca="false">M16*M15</f>
        <v>1403.63061976571</v>
      </c>
      <c r="N18" s="67" t="n">
        <f aca="false">N16*N15</f>
        <v>1498.93752518967</v>
      </c>
    </row>
    <row r="19" customFormat="false" ht="15.75" hidden="false" customHeight="false" outlineLevel="0" collapsed="false">
      <c r="A19" s="109" t="s">
        <v>193</v>
      </c>
      <c r="B19" s="110" t="s">
        <v>140</v>
      </c>
      <c r="C19" s="23" t="n">
        <v>0</v>
      </c>
      <c r="D19" s="23" t="n">
        <v>0</v>
      </c>
      <c r="E19" s="23" t="n">
        <v>0</v>
      </c>
      <c r="F19" s="23" t="n">
        <v>0</v>
      </c>
      <c r="G19" s="23" t="n">
        <v>0</v>
      </c>
      <c r="H19" s="23" t="n">
        <v>0</v>
      </c>
      <c r="I19" s="23" t="n">
        <v>0</v>
      </c>
      <c r="J19" s="23" t="n">
        <v>0</v>
      </c>
      <c r="K19" s="23" t="n">
        <v>0</v>
      </c>
      <c r="L19" s="23" t="n">
        <v>0</v>
      </c>
      <c r="M19" s="23" t="n">
        <v>0</v>
      </c>
      <c r="N19" s="23" t="n">
        <v>0</v>
      </c>
    </row>
    <row r="20" customFormat="false" ht="15.75" hidden="false" customHeight="false" outlineLevel="0" collapsed="false">
      <c r="A20" s="109" t="s">
        <v>194</v>
      </c>
      <c r="B20" s="107" t="s">
        <v>140</v>
      </c>
      <c r="C20" s="67" t="n">
        <f aca="false">C16+C18</f>
        <v>49216.8771980175</v>
      </c>
      <c r="D20" s="67" t="n">
        <f aca="false">D16+D18</f>
        <v>46924.2341283148</v>
      </c>
      <c r="E20" s="67" t="n">
        <f aca="false">E16+E18</f>
        <v>49268.7448219905</v>
      </c>
      <c r="F20" s="67" t="n">
        <f aca="false">F16+F18</f>
        <v>53968.0917163539</v>
      </c>
      <c r="G20" s="67" t="n">
        <f aca="false">G16+G18</f>
        <v>54109.0893701577</v>
      </c>
      <c r="H20" s="67" t="n">
        <f aca="false">H16+H18</f>
        <v>56086.4787134461</v>
      </c>
      <c r="I20" s="67" t="n">
        <f aca="false">I16+I18</f>
        <v>57854.822009943</v>
      </c>
      <c r="J20" s="67" t="n">
        <f aca="false">J16+J18</f>
        <v>53847.17611601</v>
      </c>
      <c r="K20" s="67" t="n">
        <f aca="false">K16+K18</f>
        <v>55331.9911927979</v>
      </c>
      <c r="L20" s="67" t="n">
        <f aca="false">L16+L18</f>
        <v>55416.4297812624</v>
      </c>
      <c r="M20" s="67" t="n">
        <f aca="false">M16+M18</f>
        <v>48191.3179452894</v>
      </c>
      <c r="N20" s="67" t="n">
        <f aca="false">N16+N18</f>
        <v>51463.5216981787</v>
      </c>
    </row>
    <row r="21" customFormat="false" ht="15.75" hidden="false" customHeight="false" outlineLevel="0" collapsed="false">
      <c r="A21" s="109" t="s">
        <v>195</v>
      </c>
      <c r="B21" s="107" t="s">
        <v>140</v>
      </c>
      <c r="C21" s="67" t="n">
        <f aca="false">C20-C17</f>
        <v>35273.8771980175</v>
      </c>
      <c r="D21" s="67" t="n">
        <f aca="false">D20-D17</f>
        <v>34732.2341283148</v>
      </c>
      <c r="E21" s="67" t="n">
        <f aca="false">E20-E17</f>
        <v>35785.7448219905</v>
      </c>
      <c r="F21" s="67" t="n">
        <f aca="false">F20-F17</f>
        <v>44431.0917163539</v>
      </c>
      <c r="G21" s="67" t="n">
        <f aca="false">G20-G17</f>
        <v>44759.0893701577</v>
      </c>
      <c r="H21" s="67" t="n">
        <f aca="false">H20-H17</f>
        <v>49541.4787134461</v>
      </c>
      <c r="I21" s="67" t="n">
        <f aca="false">I20-I17</f>
        <v>51963.822009943</v>
      </c>
      <c r="J21" s="67" t="n">
        <f aca="false">J20-J17</f>
        <v>48017.17611601</v>
      </c>
      <c r="K21" s="67" t="n">
        <f aca="false">K20-K17</f>
        <v>50401.9911927979</v>
      </c>
      <c r="L21" s="67" t="n">
        <f aca="false">L20-L17</f>
        <v>49616.4297812624</v>
      </c>
      <c r="M21" s="67" t="n">
        <f aca="false">M20-M17</f>
        <v>37438.3179452894</v>
      </c>
      <c r="N21" s="67" t="n">
        <f aca="false">N20-N17</f>
        <v>37713.5216981787</v>
      </c>
    </row>
    <row r="22" customFormat="false" ht="15.75" hidden="false" customHeight="false" outlineLevel="0" collapsed="false">
      <c r="A22" s="109" t="s">
        <v>196</v>
      </c>
      <c r="B22" s="107" t="s">
        <v>140</v>
      </c>
      <c r="C22" s="111" t="n">
        <v>35273.8771980175</v>
      </c>
      <c r="D22" s="111" t="n">
        <v>34732.2341283148</v>
      </c>
      <c r="E22" s="111" t="n">
        <v>35785.7448219905</v>
      </c>
      <c r="F22" s="111" t="n">
        <v>44431.0917163539</v>
      </c>
      <c r="G22" s="111" t="n">
        <v>44759.0893701577</v>
      </c>
      <c r="H22" s="111" t="n">
        <v>49541.4787134461</v>
      </c>
      <c r="I22" s="111" t="n">
        <v>51963.822009943</v>
      </c>
      <c r="J22" s="111" t="n">
        <v>48017.17611601</v>
      </c>
      <c r="K22" s="111" t="n">
        <v>50401.9911927979</v>
      </c>
      <c r="L22" s="111" t="n">
        <v>49616.4297812624</v>
      </c>
      <c r="M22" s="111" t="n">
        <v>37438.3179452894</v>
      </c>
      <c r="N22" s="111" t="n">
        <v>37713.5216981787</v>
      </c>
    </row>
    <row r="23" customFormat="false" ht="15.75" hidden="false" customHeight="false" outlineLevel="0" collapsed="false">
      <c r="A23" s="112"/>
      <c r="B23" s="112"/>
      <c r="C23" s="112"/>
      <c r="D23" s="112"/>
      <c r="E23" s="112"/>
      <c r="F23" s="112"/>
      <c r="G23" s="112"/>
      <c r="H23" s="112"/>
      <c r="I23" s="112"/>
      <c r="J23" s="112"/>
      <c r="K23" s="112"/>
      <c r="L23" s="112"/>
      <c r="M23" s="112"/>
      <c r="N23" s="112"/>
    </row>
    <row r="24" customFormat="false" ht="15.75" hidden="false" customHeight="false" outlineLevel="0" collapsed="false">
      <c r="A24" s="77" t="s">
        <v>198</v>
      </c>
      <c r="B24" s="77"/>
      <c r="C24" s="77"/>
      <c r="D24" s="77"/>
      <c r="E24" s="77"/>
      <c r="F24" s="77"/>
      <c r="G24" s="77"/>
      <c r="H24" s="77"/>
      <c r="I24" s="77"/>
      <c r="J24" s="77"/>
      <c r="K24" s="77"/>
      <c r="L24" s="77"/>
      <c r="M24" s="77"/>
      <c r="N24" s="77"/>
    </row>
    <row r="25" customFormat="false" ht="15.75" hidden="false" customHeight="false" outlineLevel="0" collapsed="false">
      <c r="A25" s="105" t="s">
        <v>188</v>
      </c>
      <c r="B25" s="105" t="s">
        <v>59</v>
      </c>
      <c r="C25" s="77" t="s">
        <v>76</v>
      </c>
      <c r="D25" s="55" t="s">
        <v>77</v>
      </c>
      <c r="E25" s="55" t="s">
        <v>78</v>
      </c>
      <c r="F25" s="55" t="s">
        <v>79</v>
      </c>
      <c r="G25" s="55" t="s">
        <v>80</v>
      </c>
      <c r="H25" s="55" t="s">
        <v>81</v>
      </c>
      <c r="I25" s="55" t="s">
        <v>82</v>
      </c>
      <c r="J25" s="55" t="s">
        <v>83</v>
      </c>
      <c r="K25" s="55" t="s">
        <v>84</v>
      </c>
      <c r="L25" s="55" t="s">
        <v>85</v>
      </c>
      <c r="M25" s="55" t="s">
        <v>86</v>
      </c>
      <c r="N25" s="55" t="s">
        <v>87</v>
      </c>
    </row>
    <row r="26" customFormat="false" ht="15.75" hidden="false" customHeight="false" outlineLevel="0" collapsed="false">
      <c r="A26" s="109" t="s">
        <v>190</v>
      </c>
      <c r="B26" s="107" t="s">
        <v>140</v>
      </c>
      <c r="C26" s="67" t="n">
        <f aca="false">C16+C5</f>
        <v>116677.130687531</v>
      </c>
      <c r="D26" s="67" t="n">
        <f aca="false">D16+D5</f>
        <v>114099.828732371</v>
      </c>
      <c r="E26" s="67" t="n">
        <f aca="false">E16+E5</f>
        <v>117103.520579065</v>
      </c>
      <c r="F26" s="67" t="n">
        <f aca="false">F16+F5</f>
        <v>121920.494557967</v>
      </c>
      <c r="G26" s="67" t="n">
        <f aca="false">G16+G5</f>
        <v>122277.579043237</v>
      </c>
      <c r="H26" s="67" t="n">
        <f aca="false">H16+H5</f>
        <v>124428.348336437</v>
      </c>
      <c r="I26" s="67" t="n">
        <f aca="false">I16+I5</f>
        <v>126421.229283849</v>
      </c>
      <c r="J26" s="67" t="n">
        <f aca="false">J16+J5</f>
        <v>122125.743992683</v>
      </c>
      <c r="K26" s="67" t="n">
        <f aca="false">K16+K5</f>
        <v>123550.551448111</v>
      </c>
      <c r="L26" s="67" t="n">
        <f aca="false">L16+L5</f>
        <v>123775.915380402</v>
      </c>
      <c r="M26" s="67" t="n">
        <f aca="false">M16+M5</f>
        <v>115636.006676375</v>
      </c>
      <c r="N26" s="67" t="n">
        <f aca="false">N16+N5</f>
        <v>119383.42258832</v>
      </c>
    </row>
    <row r="27" customFormat="false" ht="15.75" hidden="false" customHeight="false" outlineLevel="0" collapsed="false">
      <c r="A27" s="109" t="s">
        <v>199</v>
      </c>
      <c r="B27" s="107" t="s">
        <v>140</v>
      </c>
      <c r="C27" s="67" t="n">
        <f aca="false">C17+C6</f>
        <v>37922.1671</v>
      </c>
      <c r="D27" s="67" t="n">
        <f aca="false">D17+D6</f>
        <v>33560.45235</v>
      </c>
      <c r="E27" s="67" t="n">
        <f aca="false">E17+E6</f>
        <v>37627.72795</v>
      </c>
      <c r="F27" s="67" t="n">
        <f aca="false">F17+F6</f>
        <v>34096.14825</v>
      </c>
      <c r="G27" s="67" t="n">
        <f aca="false">G17+G6</f>
        <v>34322.53325</v>
      </c>
      <c r="H27" s="67" t="n">
        <f aca="false">H17+H6</f>
        <v>25436.6525</v>
      </c>
      <c r="I27" s="67" t="n">
        <f aca="false">I17+I6</f>
        <v>22311.194</v>
      </c>
      <c r="J27" s="67" t="n">
        <f aca="false">J17+J6</f>
        <v>21150.57205</v>
      </c>
      <c r="K27" s="67" t="n">
        <f aca="false">K17+K6</f>
        <v>20337.4585</v>
      </c>
      <c r="L27" s="67" t="n">
        <f aca="false">L17+L6</f>
        <v>22328.92045</v>
      </c>
      <c r="M27" s="67" t="n">
        <f aca="false">M17+M6</f>
        <v>28135.7122</v>
      </c>
      <c r="N27" s="67" t="n">
        <f aca="false">N17+N6</f>
        <v>34939.3402</v>
      </c>
    </row>
    <row r="28" customFormat="false" ht="15.75" hidden="false" customHeight="false" outlineLevel="0" collapsed="false">
      <c r="A28" s="109" t="s">
        <v>192</v>
      </c>
      <c r="B28" s="107" t="s">
        <v>140</v>
      </c>
      <c r="C28" s="67" t="n">
        <f aca="false">C18+C7</f>
        <v>3500.31392062594</v>
      </c>
      <c r="D28" s="67" t="n">
        <f aca="false">D18+D7</f>
        <v>3422.99486197113</v>
      </c>
      <c r="E28" s="67" t="n">
        <f aca="false">E18+E7</f>
        <v>3513.10561737194</v>
      </c>
      <c r="F28" s="67" t="n">
        <f aca="false">F18+F7</f>
        <v>3657.61483673901</v>
      </c>
      <c r="G28" s="67" t="n">
        <f aca="false">G18+G7</f>
        <v>3668.32737129712</v>
      </c>
      <c r="H28" s="67" t="n">
        <f aca="false">H18+H7</f>
        <v>3732.85045009311</v>
      </c>
      <c r="I28" s="67" t="n">
        <f aca="false">I18+I7</f>
        <v>3792.63687851547</v>
      </c>
      <c r="J28" s="67" t="n">
        <f aca="false">J18+J7</f>
        <v>3663.77231978049</v>
      </c>
      <c r="K28" s="67" t="n">
        <f aca="false">K18+K7</f>
        <v>3706.51654344332</v>
      </c>
      <c r="L28" s="67" t="n">
        <f aca="false">L18+L7</f>
        <v>3713.27746141205</v>
      </c>
      <c r="M28" s="67" t="n">
        <f aca="false">M18+M7</f>
        <v>3469.08020029125</v>
      </c>
      <c r="N28" s="67" t="n">
        <f aca="false">N18+N7</f>
        <v>3581.5026776496</v>
      </c>
    </row>
    <row r="29" customFormat="false" ht="15.75" hidden="false" customHeight="false" outlineLevel="0" collapsed="false">
      <c r="A29" s="109" t="s">
        <v>193</v>
      </c>
      <c r="B29" s="110" t="s">
        <v>140</v>
      </c>
      <c r="C29" s="89" t="n">
        <f aca="false">C8+C19</f>
        <v>0</v>
      </c>
      <c r="D29" s="89" t="n">
        <f aca="false">D8+D19</f>
        <v>0</v>
      </c>
      <c r="E29" s="89" t="n">
        <f aca="false">E8+E19</f>
        <v>0</v>
      </c>
      <c r="F29" s="89" t="n">
        <f aca="false">F8+F19</f>
        <v>0</v>
      </c>
      <c r="G29" s="89" t="n">
        <f aca="false">G8+G19</f>
        <v>0</v>
      </c>
      <c r="H29" s="89" t="n">
        <f aca="false">H8+H19</f>
        <v>0</v>
      </c>
      <c r="I29" s="89" t="n">
        <f aca="false">I8+I19</f>
        <v>0</v>
      </c>
      <c r="J29" s="89" t="n">
        <f aca="false">J8+J19</f>
        <v>0</v>
      </c>
      <c r="K29" s="89" t="n">
        <f aca="false">K8+K19</f>
        <v>0</v>
      </c>
      <c r="L29" s="89" t="n">
        <f aca="false">L8+L19</f>
        <v>0</v>
      </c>
      <c r="M29" s="89" t="n">
        <f aca="false">M8+M19</f>
        <v>0</v>
      </c>
      <c r="N29" s="89" t="n">
        <f aca="false">N8+N19</f>
        <v>0</v>
      </c>
    </row>
    <row r="30" customFormat="false" ht="15.75" hidden="false" customHeight="false" outlineLevel="0" collapsed="false">
      <c r="A30" s="109" t="s">
        <v>194</v>
      </c>
      <c r="B30" s="107" t="s">
        <v>140</v>
      </c>
      <c r="C30" s="67" t="n">
        <f aca="false">C20+C9</f>
        <v>120177.444608157</v>
      </c>
      <c r="D30" s="67" t="n">
        <f aca="false">D20+D9</f>
        <v>117522.823594342</v>
      </c>
      <c r="E30" s="67" t="n">
        <f aca="false">E20+E9</f>
        <v>120616.626196437</v>
      </c>
      <c r="F30" s="67" t="n">
        <f aca="false">F20+F9</f>
        <v>125578.109394706</v>
      </c>
      <c r="G30" s="67" t="n">
        <f aca="false">G20+G9</f>
        <v>125945.906414535</v>
      </c>
      <c r="H30" s="67" t="n">
        <f aca="false">H20+H9</f>
        <v>128161.19878653</v>
      </c>
      <c r="I30" s="67" t="n">
        <f aca="false">I20+I9</f>
        <v>130213.866162364</v>
      </c>
      <c r="J30" s="67" t="n">
        <f aca="false">J20+J9</f>
        <v>125789.516312463</v>
      </c>
      <c r="K30" s="67" t="n">
        <f aca="false">K20+K9</f>
        <v>127257.067991554</v>
      </c>
      <c r="L30" s="67" t="n">
        <f aca="false">L20+L9</f>
        <v>127489.192841814</v>
      </c>
      <c r="M30" s="67" t="n">
        <f aca="false">M20+M9</f>
        <v>119105.086876666</v>
      </c>
      <c r="N30" s="67" t="n">
        <f aca="false">N20+N9</f>
        <v>122964.92526597</v>
      </c>
    </row>
    <row r="31" customFormat="false" ht="15.75" hidden="false" customHeight="false" outlineLevel="0" collapsed="false">
      <c r="A31" s="109" t="s">
        <v>195</v>
      </c>
      <c r="B31" s="107" t="s">
        <v>140</v>
      </c>
      <c r="C31" s="67" t="n">
        <f aca="false">C21+C10</f>
        <v>82255.2775081572</v>
      </c>
      <c r="D31" s="67" t="n">
        <f aca="false">D21+D10</f>
        <v>83962.3712443421</v>
      </c>
      <c r="E31" s="67" t="n">
        <f aca="false">E21+E10</f>
        <v>82988.8982464365</v>
      </c>
      <c r="F31" s="67" t="n">
        <f aca="false">F21+F10</f>
        <v>91481.9611447059</v>
      </c>
      <c r="G31" s="67" t="n">
        <f aca="false">G21+G10</f>
        <v>91623.3731645345</v>
      </c>
      <c r="H31" s="67" t="n">
        <f aca="false">H21+H10</f>
        <v>102724.54628653</v>
      </c>
      <c r="I31" s="67" t="n">
        <f aca="false">I21+I10</f>
        <v>107902.672162364</v>
      </c>
      <c r="J31" s="67" t="n">
        <f aca="false">J21+J10</f>
        <v>104638.944262463</v>
      </c>
      <c r="K31" s="67" t="n">
        <f aca="false">K21+K10</f>
        <v>106919.609491554</v>
      </c>
      <c r="L31" s="67" t="n">
        <f aca="false">L21+L10</f>
        <v>105160.272391814</v>
      </c>
      <c r="M31" s="67" t="n">
        <f aca="false">M21+M10</f>
        <v>90969.3746766662</v>
      </c>
      <c r="N31" s="67" t="n">
        <f aca="false">N21+N10</f>
        <v>88025.5850659696</v>
      </c>
    </row>
    <row r="32" customFormat="false" ht="15.75" hidden="false" customHeight="false" outlineLevel="0" collapsed="false">
      <c r="A32" s="109" t="s">
        <v>196</v>
      </c>
      <c r="B32" s="107" t="s">
        <v>140</v>
      </c>
      <c r="C32" s="67" t="n">
        <f aca="false">C22+C11</f>
        <v>82255.2775081572</v>
      </c>
      <c r="D32" s="67" t="n">
        <f aca="false">D22+D11</f>
        <v>83962.3712443421</v>
      </c>
      <c r="E32" s="67" t="n">
        <f aca="false">E22+E11</f>
        <v>82988.8982464365</v>
      </c>
      <c r="F32" s="67" t="n">
        <f aca="false">F22+F11</f>
        <v>91481.9611447059</v>
      </c>
      <c r="G32" s="67" t="n">
        <f aca="false">G22+G11</f>
        <v>91623.3731645345</v>
      </c>
      <c r="H32" s="67" t="n">
        <f aca="false">H22+H11</f>
        <v>102724.54628653</v>
      </c>
      <c r="I32" s="67" t="n">
        <f aca="false">I22+I11</f>
        <v>107902.672162364</v>
      </c>
      <c r="J32" s="67" t="n">
        <f aca="false">J22+J11</f>
        <v>104638.944262463</v>
      </c>
      <c r="K32" s="67" t="n">
        <f aca="false">K22+K11</f>
        <v>106919.609491554</v>
      </c>
      <c r="L32" s="67" t="n">
        <f aca="false">L22+L11</f>
        <v>105160.272391814</v>
      </c>
      <c r="M32" s="67" t="n">
        <f aca="false">M22+M11</f>
        <v>90969.3746766662</v>
      </c>
      <c r="N32" s="67" t="n">
        <f aca="false">N22+N11</f>
        <v>88025.5850659696</v>
      </c>
    </row>
  </sheetData>
  <mergeCells count="6">
    <mergeCell ref="A1:N1"/>
    <mergeCell ref="A2:N2"/>
    <mergeCell ref="A12:N12"/>
    <mergeCell ref="A13:N13"/>
    <mergeCell ref="A23:N23"/>
    <mergeCell ref="A24:N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1"/>
  <sheetViews>
    <sheetView showFormulas="false" showGridLines="true" showRowColHeaders="true" showZeros="true" rightToLeft="false" tabSelected="false" showOutlineSymbols="true" defaultGridColor="true" view="normal" topLeftCell="A1" colorId="64" zoomScale="130" zoomScaleNormal="130" zoomScalePageLayoutView="100" workbookViewId="0">
      <selection pane="topLeft" activeCell="E8" activeCellId="0" sqref="E8"/>
    </sheetView>
  </sheetViews>
  <sheetFormatPr defaultColWidth="11" defaultRowHeight="15.75" zeroHeight="false" outlineLevelRow="0" outlineLevelCol="0"/>
  <cols>
    <col collapsed="false" customWidth="true" hidden="false" outlineLevel="0" max="1" min="1" style="0" width="19"/>
    <col collapsed="false" customWidth="true" hidden="false" outlineLevel="0" max="3" min="3" style="0" width="12.51"/>
  </cols>
  <sheetData>
    <row r="1" customFormat="false" ht="15.75" hidden="false" customHeight="false" outlineLevel="0" collapsed="false">
      <c r="A1" s="113" t="s">
        <v>200</v>
      </c>
      <c r="B1" s="113"/>
      <c r="C1" s="113"/>
      <c r="D1" s="113"/>
      <c r="E1" s="113"/>
      <c r="F1" s="113"/>
      <c r="G1" s="113"/>
      <c r="H1" s="113"/>
      <c r="I1" s="113"/>
      <c r="J1" s="113"/>
      <c r="K1" s="113"/>
      <c r="L1" s="113"/>
      <c r="M1" s="113"/>
      <c r="N1" s="113"/>
    </row>
    <row r="2" customFormat="false" ht="15.75" hidden="false" customHeight="false" outlineLevel="0" collapsed="false">
      <c r="A2" s="113" t="s">
        <v>147</v>
      </c>
      <c r="B2" s="113"/>
      <c r="C2" s="113"/>
      <c r="D2" s="113"/>
      <c r="E2" s="113"/>
      <c r="F2" s="113"/>
      <c r="G2" s="113"/>
      <c r="H2" s="113"/>
      <c r="I2" s="113"/>
      <c r="J2" s="113"/>
      <c r="K2" s="113"/>
      <c r="L2" s="113"/>
      <c r="M2" s="113"/>
      <c r="N2" s="113"/>
    </row>
    <row r="3" customFormat="false" ht="15.75" hidden="false" customHeight="false" outlineLevel="0" collapsed="false">
      <c r="A3" s="105" t="s">
        <v>201</v>
      </c>
      <c r="B3" s="105" t="s">
        <v>119</v>
      </c>
      <c r="C3" s="77" t="s">
        <v>76</v>
      </c>
      <c r="D3" s="55" t="s">
        <v>77</v>
      </c>
      <c r="E3" s="55" t="s">
        <v>78</v>
      </c>
      <c r="F3" s="55" t="s">
        <v>79</v>
      </c>
      <c r="G3" s="55" t="s">
        <v>80</v>
      </c>
      <c r="H3" s="55" t="s">
        <v>81</v>
      </c>
      <c r="I3" s="55" t="s">
        <v>82</v>
      </c>
      <c r="J3" s="55" t="s">
        <v>83</v>
      </c>
      <c r="K3" s="55" t="s">
        <v>84</v>
      </c>
      <c r="L3" s="55" t="s">
        <v>85</v>
      </c>
      <c r="M3" s="55" t="s">
        <v>86</v>
      </c>
      <c r="N3" s="55" t="s">
        <v>87</v>
      </c>
    </row>
    <row r="4" customFormat="false" ht="15.75" hidden="false" customHeight="false" outlineLevel="0" collapsed="false">
      <c r="A4" s="114" t="s">
        <v>202</v>
      </c>
      <c r="B4" s="109" t="s">
        <v>145</v>
      </c>
      <c r="C4" s="115" t="n">
        <f aca="false">'9Geração Própria - CALC'!C15*'2Tabela Tarifas Distribuidoras'!E6</f>
        <v>1595094.195492</v>
      </c>
      <c r="D4" s="115" t="n">
        <f aca="false">'9Geração Própria - CALC'!D15*'2Tabela Tarifas Distribuidoras'!F6</f>
        <v>1421429.450322</v>
      </c>
      <c r="E4" s="115" t="n">
        <f aca="false">'9Geração Própria - CALC'!E15*'2Tabela Tarifas Distribuidoras'!G6</f>
        <v>1606107.303234</v>
      </c>
      <c r="F4" s="115" t="n">
        <f aca="false">'9Geração Própria - CALC'!F15*'2Tabela Tarifas Distribuidoras'!H6</f>
        <v>1633674.54159</v>
      </c>
      <c r="G4" s="115" t="n">
        <f aca="false">'9Geração Própria - CALC'!G15*'2Tabela Tarifas Distribuidoras'!I6</f>
        <v>1661172.91179</v>
      </c>
      <c r="H4" s="115" t="n">
        <f aca="false">'9Geração Própria - CALC'!H15*'2Tabela Tarifas Distribuidoras'!J6</f>
        <v>1256672.7243</v>
      </c>
      <c r="I4" s="115" t="n">
        <f aca="false">'9Geração Própria - CALC'!I15*'2Tabela Tarifas Distribuidoras'!K6</f>
        <v>996048.96804</v>
      </c>
      <c r="J4" s="115" t="n">
        <f aca="false">'9Geração Própria - CALC'!J15*'2Tabela Tarifas Distribuidoras'!L6</f>
        <v>929345.900553</v>
      </c>
      <c r="K4" s="115" t="n">
        <f aca="false">'9Geração Própria - CALC'!K15*'2Tabela Tarifas Distribuidoras'!M6</f>
        <v>934616.43261</v>
      </c>
      <c r="L4" s="115" t="n">
        <f aca="false">'9Geração Própria - CALC'!L15*'2Tabela Tarifas Distribuidoras'!N6</f>
        <v>1002644.314497</v>
      </c>
      <c r="M4" s="115" t="n">
        <f aca="false">'9Geração Própria - CALC'!M15*'2Tabela Tarifas Distribuidoras'!O6</f>
        <v>1054435.322052</v>
      </c>
      <c r="N4" s="115" t="n">
        <f aca="false">'9Geração Própria - CALC'!N15*'2Tabela Tarifas Distribuidoras'!P6</f>
        <v>1285345.376532</v>
      </c>
    </row>
    <row r="5" customFormat="false" ht="15.75" hidden="false" customHeight="true" outlineLevel="0" collapsed="false">
      <c r="A5" s="116" t="s">
        <v>203</v>
      </c>
      <c r="B5" s="109" t="s">
        <v>63</v>
      </c>
      <c r="C5" s="117" t="n">
        <f aca="false">('10Demanda - INPUT'!C2*'2Tabela Tarifas Distribuidoras'!E3)+('10Demanda - INPUT'!C3*'2Tabela Tarifas Distribuidoras'!E4)</f>
        <v>1641503.84411453</v>
      </c>
      <c r="D5" s="118" t="n">
        <f aca="false">('10Demanda - INPUT'!D2*'2Tabela Tarifas Distribuidoras'!F3)+('10Demanda - INPUT'!D3*'2Tabela Tarifas Distribuidoras'!F4)</f>
        <v>1641503.84411453</v>
      </c>
      <c r="E5" s="118" t="n">
        <f aca="false">('10Demanda - INPUT'!E2*'2Tabela Tarifas Distribuidoras'!G3)+('10Demanda - INPUT'!E3*'2Tabela Tarifas Distribuidoras'!G4)</f>
        <v>1641503.84411453</v>
      </c>
      <c r="F5" s="118" t="n">
        <f aca="false">('10Demanda - INPUT'!F2*'2Tabela Tarifas Distribuidoras'!H3)+('10Demanda - INPUT'!F3*'2Tabela Tarifas Distribuidoras'!H4)</f>
        <v>1641503.84411453</v>
      </c>
      <c r="G5" s="118" t="n">
        <f aca="false">('10Demanda - INPUT'!G2*'2Tabela Tarifas Distribuidoras'!I3)+('10Demanda - INPUT'!G3*'2Tabela Tarifas Distribuidoras'!I4)</f>
        <v>1641503.84411453</v>
      </c>
      <c r="H5" s="118" t="n">
        <f aca="false">('10Demanda - INPUT'!H2*'2Tabela Tarifas Distribuidoras'!J3)+('10Demanda - INPUT'!H3*'2Tabela Tarifas Distribuidoras'!J4)</f>
        <v>1641503.84411453</v>
      </c>
      <c r="I5" s="118" t="n">
        <f aca="false">('10Demanda - INPUT'!I2*'2Tabela Tarifas Distribuidoras'!K3)+('10Demanda - INPUT'!I3*'2Tabela Tarifas Distribuidoras'!K4)</f>
        <v>1805249.20466596</v>
      </c>
      <c r="J5" s="118" t="n">
        <f aca="false">('10Demanda - INPUT'!J2*'2Tabela Tarifas Distribuidoras'!L3)+('10Demanda - INPUT'!J3*'2Tabela Tarifas Distribuidoras'!L4)</f>
        <v>1805249.20466596</v>
      </c>
      <c r="K5" s="118" t="n">
        <f aca="false">('10Demanda - INPUT'!K2*'2Tabela Tarifas Distribuidoras'!M3)+('10Demanda - INPUT'!K3*'2Tabela Tarifas Distribuidoras'!M4)</f>
        <v>1805249.20466596</v>
      </c>
      <c r="L5" s="118" t="n">
        <f aca="false">('10Demanda - INPUT'!L2*'2Tabela Tarifas Distribuidoras'!N3)+('10Demanda - INPUT'!L3*'2Tabela Tarifas Distribuidoras'!N4)</f>
        <v>1805249.20466596</v>
      </c>
      <c r="M5" s="118" t="n">
        <f aca="false">('10Demanda - INPUT'!M2*'2Tabela Tarifas Distribuidoras'!O3)+('10Demanda - INPUT'!M3*'2Tabela Tarifas Distribuidoras'!O4)</f>
        <v>1805249.20466596</v>
      </c>
      <c r="N5" s="118" t="n">
        <f aca="false">('10Demanda - INPUT'!N2*'2Tabela Tarifas Distribuidoras'!P3)+('10Demanda - INPUT'!N3*'2Tabela Tarifas Distribuidoras'!P4)</f>
        <v>1805249.20466596</v>
      </c>
    </row>
    <row r="6" customFormat="false" ht="15.75" hidden="false" customHeight="false" outlineLevel="0" collapsed="false">
      <c r="A6" s="116"/>
      <c r="B6" s="109" t="s">
        <v>171</v>
      </c>
      <c r="C6" s="117" t="n">
        <f aca="false">('10Demanda - INPUT'!C4*'2Tabela Tarifas Distribuidoras'!E8)+('10Demanda - INPUT'!C5*'2Tabela Tarifas Distribuidoras'!E9)</f>
        <v>263409.193548387</v>
      </c>
      <c r="D6" s="118" t="n">
        <f aca="false">('10Demanda - INPUT'!D4*'2Tabela Tarifas Distribuidoras'!F8)+('10Demanda - INPUT'!D5*'2Tabela Tarifas Distribuidoras'!F9)</f>
        <v>263409.193548387</v>
      </c>
      <c r="E6" s="118" t="n">
        <f aca="false">('10Demanda - INPUT'!E4*'2Tabela Tarifas Distribuidoras'!G8)+('10Demanda - INPUT'!E5*'2Tabela Tarifas Distribuidoras'!G9)</f>
        <v>263409.193548387</v>
      </c>
      <c r="F6" s="118" t="n">
        <f aca="false">('10Demanda - INPUT'!F4*'2Tabela Tarifas Distribuidoras'!H8)+('10Demanda - INPUT'!F5*'2Tabela Tarifas Distribuidoras'!H9)</f>
        <v>263409.193548387</v>
      </c>
      <c r="G6" s="118" t="n">
        <f aca="false">('10Demanda - INPUT'!G4*'2Tabela Tarifas Distribuidoras'!I8)+('10Demanda - INPUT'!G5*'2Tabela Tarifas Distribuidoras'!I9)</f>
        <v>263409.193548387</v>
      </c>
      <c r="H6" s="118" t="n">
        <f aca="false">('10Demanda - INPUT'!H4*'2Tabela Tarifas Distribuidoras'!J8)+('10Demanda - INPUT'!H5*'2Tabela Tarifas Distribuidoras'!J9)</f>
        <v>263409.193548387</v>
      </c>
      <c r="I6" s="118" t="n">
        <f aca="false">('10Demanda - INPUT'!I4*'2Tabela Tarifas Distribuidoras'!K8)+('10Demanda - INPUT'!I5*'2Tabela Tarifas Distribuidoras'!K9)</f>
        <v>454929.092552869</v>
      </c>
      <c r="J6" s="118" t="n">
        <f aca="false">('10Demanda - INPUT'!J4*'2Tabela Tarifas Distribuidoras'!L8)+('10Demanda - INPUT'!J5*'2Tabela Tarifas Distribuidoras'!L9)</f>
        <v>454929.092552869</v>
      </c>
      <c r="K6" s="118" t="n">
        <f aca="false">('10Demanda - INPUT'!K4*'2Tabela Tarifas Distribuidoras'!M8)+('10Demanda - INPUT'!K5*'2Tabela Tarifas Distribuidoras'!M9)</f>
        <v>454929.092552869</v>
      </c>
      <c r="L6" s="118" t="n">
        <f aca="false">('10Demanda - INPUT'!L4*'2Tabela Tarifas Distribuidoras'!N8)+('10Demanda - INPUT'!L5*'2Tabela Tarifas Distribuidoras'!N9)</f>
        <v>454929.092552869</v>
      </c>
      <c r="M6" s="118" t="n">
        <f aca="false">('10Demanda - INPUT'!M4*'2Tabela Tarifas Distribuidoras'!O8)+('10Demanda - INPUT'!M5*'2Tabela Tarifas Distribuidoras'!O9)</f>
        <v>454929.092552869</v>
      </c>
      <c r="N6" s="118" t="n">
        <f aca="false">('10Demanda - INPUT'!N4*'2Tabela Tarifas Distribuidoras'!P8)+('10Demanda - INPUT'!N5*'2Tabela Tarifas Distribuidoras'!P9)</f>
        <v>454929.092552869</v>
      </c>
    </row>
    <row r="7" customFormat="false" ht="15.75" hidden="false" customHeight="false" outlineLevel="0" collapsed="false">
      <c r="A7" s="116"/>
      <c r="B7" s="109" t="s">
        <v>145</v>
      </c>
      <c r="C7" s="117" t="n">
        <f aca="false">C6+C5</f>
        <v>1904913.03766292</v>
      </c>
      <c r="D7" s="118" t="n">
        <f aca="false">D6+D5</f>
        <v>1904913.03766292</v>
      </c>
      <c r="E7" s="118" t="n">
        <f aca="false">E6+E5</f>
        <v>1904913.03766292</v>
      </c>
      <c r="F7" s="118" t="n">
        <f aca="false">F6+F5</f>
        <v>1904913.03766292</v>
      </c>
      <c r="G7" s="118" t="n">
        <f aca="false">G6+G5</f>
        <v>1904913.03766292</v>
      </c>
      <c r="H7" s="118" t="n">
        <f aca="false">H6+H5</f>
        <v>1904913.03766292</v>
      </c>
      <c r="I7" s="118" t="n">
        <f aca="false">I6+I5</f>
        <v>2260178.29721883</v>
      </c>
      <c r="J7" s="118" t="n">
        <f aca="false">J6+J5</f>
        <v>2260178.29721883</v>
      </c>
      <c r="K7" s="118" t="n">
        <f aca="false">K6+K5</f>
        <v>2260178.29721883</v>
      </c>
      <c r="L7" s="118" t="n">
        <f aca="false">L6+L5</f>
        <v>2260178.29721883</v>
      </c>
      <c r="M7" s="118" t="n">
        <f aca="false">M6+M5</f>
        <v>2260178.29721883</v>
      </c>
      <c r="N7" s="118" t="n">
        <f aca="false">N6+N5</f>
        <v>2260178.29721883</v>
      </c>
    </row>
    <row r="8" customFormat="false" ht="15.75" hidden="false" customHeight="true" outlineLevel="0" collapsed="false">
      <c r="A8" s="116" t="s">
        <v>204</v>
      </c>
      <c r="B8" s="109" t="s">
        <v>63</v>
      </c>
      <c r="C8" s="117" t="n">
        <f aca="false">IF((((SUM('7Consumo Área - CALC'!C3:C7)/1000)*'2Tabela Tarifas Distribuidoras'!E5)-C4) &lt; 0, 0,((SUM('7Consumo Área - CALC'!C3:C7)/1000)*'2Tabela Tarifas Distribuidoras'!E5)-C4)</f>
        <v>2235005.78025168</v>
      </c>
      <c r="D8" s="118" t="n">
        <f aca="false">IF((((SUM('7Consumo Área - CALC'!D3:D7)/1000)*'2Tabela Tarifas Distribuidoras'!F5)-D4) &lt; 0, 0,((SUM('7Consumo Área - CALC'!D3:D7)/1000)*'2Tabela Tarifas Distribuidoras'!F5)-D4)</f>
        <v>2394424.52302079</v>
      </c>
      <c r="E8" s="118" t="n">
        <f aca="false">IF((((SUM('7Consumo Área - CALC'!E3:E7)/1000)*'2Tabela Tarifas Distribuidoras'!G5)-E4) &lt; 0, 0,((SUM('7Consumo Área - CALC'!E3:E7)/1000)*'2Tabela Tarifas Distribuidoras'!G5)-E4)</f>
        <v>2213144.5253999</v>
      </c>
      <c r="F8" s="118" t="n">
        <f aca="false">IF((((SUM('7Consumo Área - CALC'!F3:F7)/1000)*'2Tabela Tarifas Distribuidoras'!H5)-F4) &lt; 0, 0,((SUM('7Consumo Área - CALC'!F3:F7)/1000)*'2Tabela Tarifas Distribuidoras'!H5)-F4)</f>
        <v>2186212.6334134</v>
      </c>
      <c r="G8" s="118" t="n">
        <f aca="false">IF((((SUM('7Consumo Área - CALC'!G3:G7)/1000)*'2Tabela Tarifas Distribuidoras'!I5)-G4) &lt; 0, 0,((SUM('7Consumo Área - CALC'!G3:G7)/1000)*'2Tabela Tarifas Distribuidoras'!I5)-G4)</f>
        <v>2159637.46191811</v>
      </c>
      <c r="H8" s="118" t="n">
        <f aca="false">IF((((SUM('7Consumo Área - CALC'!H3:H7)/1000)*'2Tabela Tarifas Distribuidoras'!J5)-H4) &lt; 0, 0,((SUM('7Consumo Área - CALC'!H3:H7)/1000)*'2Tabela Tarifas Distribuidoras'!J5)-H4)</f>
        <v>2224642.63704566</v>
      </c>
      <c r="I8" s="118" t="n">
        <f aca="false">IF((((SUM('7Consumo Área - CALC'!I3:I7)/1000)*'2Tabela Tarifas Distribuidoras'!K5)-I4) &lt; 0, 0,((SUM('7Consumo Área - CALC'!I3:I7)/1000)*'2Tabela Tarifas Distribuidoras'!K5)-I4)</f>
        <v>2489825.57531085</v>
      </c>
      <c r="J8" s="118" t="n">
        <f aca="false">IF((((SUM('7Consumo Área - CALC'!J3:J7)/1000)*'2Tabela Tarifas Distribuidoras'!L5)-J4) &lt; 0, 0,((SUM('7Consumo Área - CALC'!J3:J7)/1000)*'2Tabela Tarifas Distribuidoras'!L5)-J4)</f>
        <v>2557854.47734156</v>
      </c>
      <c r="K8" s="118" t="n">
        <f aca="false">IF((((SUM('7Consumo Área - CALC'!K3:K7)/1000)*'2Tabela Tarifas Distribuidoras'!M5)-K4) &lt; 0, 0,((SUM('7Consumo Área - CALC'!K3:K7)/1000)*'2Tabela Tarifas Distribuidoras'!M5)-K4)</f>
        <v>2547512.04252881</v>
      </c>
      <c r="L8" s="118" t="n">
        <f aca="false">IF((((SUM('7Consumo Área - CALC'!L3:L7)/1000)*'2Tabela Tarifas Distribuidoras'!N5)-L4) &lt; 0, 0,((SUM('7Consumo Área - CALC'!L3:L7)/1000)*'2Tabela Tarifas Distribuidoras'!N5)-L4)</f>
        <v>2486223.38167548</v>
      </c>
      <c r="M8" s="118" t="n">
        <f aca="false">IF((((SUM('7Consumo Área - CALC'!M3:M7)/1000)*'2Tabela Tarifas Distribuidoras'!O5)-M4) &lt; 0, 0,((SUM('7Consumo Área - CALC'!M3:M7)/1000)*'2Tabela Tarifas Distribuidoras'!O5)-M4)</f>
        <v>2433406.99184574</v>
      </c>
      <c r="N8" s="118" t="n">
        <f aca="false">IF((((SUM('7Consumo Área - CALC'!N3:N7)/1000)*'2Tabela Tarifas Distribuidoras'!P5)-N4) &lt; 0, 0,((SUM('7Consumo Área - CALC'!N3:N7)/1000)*'2Tabela Tarifas Distribuidoras'!P5)-N4)</f>
        <v>2210706.7766534</v>
      </c>
    </row>
    <row r="9" customFormat="false" ht="15.75" hidden="false" customHeight="false" outlineLevel="0" collapsed="false">
      <c r="A9" s="116"/>
      <c r="B9" s="109" t="s">
        <v>171</v>
      </c>
      <c r="C9" s="117" t="n">
        <f aca="false">(SUM('7Consumo Área - CALC'!C8:C10)/1000)*'2Tabela Tarifas Distribuidoras'!E12</f>
        <v>745741.779003851</v>
      </c>
      <c r="D9" s="118" t="n">
        <f aca="false">(SUM('7Consumo Área - CALC'!D8:D10)/1000)*'2Tabela Tarifas Distribuidoras'!F12</f>
        <v>735241.092947345</v>
      </c>
      <c r="E9" s="118" t="n">
        <f aca="false">(SUM('7Consumo Área - CALC'!E8:E10)/1000)*'2Tabela Tarifas Distribuidoras'!G12</f>
        <v>789995.120848378</v>
      </c>
      <c r="F9" s="118" t="n">
        <f aca="false">(SUM('7Consumo Área - CALC'!F8:F10)/1000)*'2Tabela Tarifas Distribuidoras'!H12</f>
        <v>809850.845660777</v>
      </c>
      <c r="G9" s="118" t="n">
        <f aca="false">(SUM('7Consumo Área - CALC'!G8:G10)/1000)*'2Tabela Tarifas Distribuidoras'!I12</f>
        <v>826557.294158736</v>
      </c>
      <c r="H9" s="118" t="n">
        <f aca="false">(SUM('7Consumo Área - CALC'!H8:H10)/1000)*'2Tabela Tarifas Distribuidoras'!J12</f>
        <v>849338.846116788</v>
      </c>
      <c r="I9" s="118" t="n">
        <f aca="false">(SUM('7Consumo Área - CALC'!I8:I10)/1000)*'2Tabela Tarifas Distribuidoras'!K12</f>
        <v>878300.97711085</v>
      </c>
      <c r="J9" s="118" t="n">
        <f aca="false">(SUM('7Consumo Área - CALC'!J8:J10)/1000)*'2Tabela Tarifas Distribuidoras'!L12</f>
        <v>843103.238857058</v>
      </c>
      <c r="K9" s="118" t="n">
        <f aca="false">(SUM('7Consumo Área - CALC'!K8:K10)/1000)*'2Tabela Tarifas Distribuidoras'!M12</f>
        <v>848865.534024472</v>
      </c>
      <c r="L9" s="118" t="n">
        <f aca="false">(SUM('7Consumo Área - CALC'!L8:L10)/1000)*'2Tabela Tarifas Distribuidoras'!N12</f>
        <v>851187.034166838</v>
      </c>
      <c r="M9" s="118" t="n">
        <f aca="false">(SUM('7Consumo Área - CALC'!M8:M10)/1000)*'2Tabela Tarifas Distribuidoras'!O12</f>
        <v>759927.883555971</v>
      </c>
      <c r="N9" s="118" t="n">
        <f aca="false">(SUM('7Consumo Área - CALC'!N8:N10)/1000)*'2Tabela Tarifas Distribuidoras'!P12</f>
        <v>795367.904089629</v>
      </c>
    </row>
    <row r="10" customFormat="false" ht="15.75" hidden="false" customHeight="false" outlineLevel="0" collapsed="false">
      <c r="A10" s="116"/>
      <c r="B10" s="109" t="s">
        <v>145</v>
      </c>
      <c r="C10" s="117" t="n">
        <f aca="false">C8+C9</f>
        <v>2980747.55925553</v>
      </c>
      <c r="D10" s="118" t="n">
        <f aca="false">D8+D9</f>
        <v>3129665.61596813</v>
      </c>
      <c r="E10" s="118" t="n">
        <f aca="false">E8+E9</f>
        <v>3003139.64624828</v>
      </c>
      <c r="F10" s="118" t="n">
        <f aca="false">F8+F9</f>
        <v>2996063.47907418</v>
      </c>
      <c r="G10" s="118" t="n">
        <f aca="false">G8+G9</f>
        <v>2986194.75607685</v>
      </c>
      <c r="H10" s="118" t="n">
        <f aca="false">H8+H9</f>
        <v>3073981.48316245</v>
      </c>
      <c r="I10" s="118" t="n">
        <f aca="false">I8+I9</f>
        <v>3368126.55242171</v>
      </c>
      <c r="J10" s="118" t="n">
        <f aca="false">J8+J9</f>
        <v>3400957.71619861</v>
      </c>
      <c r="K10" s="118" t="n">
        <f aca="false">K8+K9</f>
        <v>3396377.57655328</v>
      </c>
      <c r="L10" s="118" t="n">
        <f aca="false">L8+L9</f>
        <v>3337410.41584232</v>
      </c>
      <c r="M10" s="118" t="n">
        <f aca="false">M8+M9</f>
        <v>3193334.87540171</v>
      </c>
      <c r="N10" s="118" t="n">
        <f aca="false">N8+N9</f>
        <v>3006074.68074303</v>
      </c>
    </row>
    <row r="11" customFormat="false" ht="15.75" hidden="false" customHeight="true" outlineLevel="0" collapsed="false">
      <c r="A11" s="116" t="s">
        <v>205</v>
      </c>
      <c r="B11" s="109" t="s">
        <v>206</v>
      </c>
      <c r="C11" s="117" t="n">
        <f aca="false">'13Distribuição de Carga'!C11*'2Tabela Tarifas Distribuidoras'!E13</f>
        <v>7563933.18085522</v>
      </c>
      <c r="D11" s="118" t="n">
        <f aca="false">'13Distribuição de Carga'!D11*'2Tabela Tarifas Distribuidoras'!F13</f>
        <v>7925976.34748667</v>
      </c>
      <c r="E11" s="118" t="n">
        <f aca="false">'13Distribuição de Carga'!E11*'2Tabela Tarifas Distribuidoras'!G13</f>
        <v>7599635.09114709</v>
      </c>
      <c r="F11" s="118" t="n">
        <f aca="false">'13Distribuição de Carga'!F11*'2Tabela Tarifas Distribuidoras'!H13</f>
        <v>7575117.60202661</v>
      </c>
      <c r="G11" s="118" t="n">
        <f aca="false">'13Distribuição de Carga'!G11*'2Tabela Tarifas Distribuidoras'!I13</f>
        <v>7545077.60197172</v>
      </c>
      <c r="H11" s="118" t="n">
        <f aca="false">'13Distribuição de Carga'!H11*'2Tabela Tarifas Distribuidoras'!J13</f>
        <v>8562392.07048272</v>
      </c>
      <c r="I11" s="118" t="n">
        <f aca="false">'13Distribuição de Carga'!I11*'2Tabela Tarifas Distribuidoras'!K13</f>
        <v>9006068.82667713</v>
      </c>
      <c r="J11" s="118" t="n">
        <f aca="false">'13Distribuição de Carga'!J11*'2Tabela Tarifas Distribuidoras'!L13</f>
        <v>9116017.57321856</v>
      </c>
      <c r="K11" s="118" t="n">
        <f aca="false">'13Distribuição de Carga'!K11*'2Tabela Tarifas Distribuidoras'!M13</f>
        <v>9099249.60794766</v>
      </c>
      <c r="L11" s="118" t="n">
        <f aca="false">'13Distribuição de Carga'!L11*'2Tabela Tarifas Distribuidoras'!N13</f>
        <v>8942473.22005589</v>
      </c>
      <c r="M11" s="118" t="n">
        <f aca="false">'13Distribuição de Carga'!M11*'2Tabela Tarifas Distribuidoras'!O13</f>
        <v>8618417.789674</v>
      </c>
      <c r="N11" s="118" t="n">
        <f aca="false">'13Distribuição de Carga'!N11*'2Tabela Tarifas Distribuidoras'!P13</f>
        <v>8100164.80974898</v>
      </c>
    </row>
    <row r="12" customFormat="false" ht="15.75" hidden="false" customHeight="false" outlineLevel="0" collapsed="false">
      <c r="A12" s="116"/>
      <c r="B12" s="119" t="s">
        <v>145</v>
      </c>
      <c r="C12" s="117" t="n">
        <f aca="false">C11</f>
        <v>7563933.18085522</v>
      </c>
      <c r="D12" s="118" t="n">
        <f aca="false">D11</f>
        <v>7925976.34748667</v>
      </c>
      <c r="E12" s="118" t="n">
        <f aca="false">E11</f>
        <v>7599635.09114709</v>
      </c>
      <c r="F12" s="118" t="n">
        <f aca="false">F11</f>
        <v>7575117.60202661</v>
      </c>
      <c r="G12" s="118" t="n">
        <f aca="false">G11</f>
        <v>7545077.60197172</v>
      </c>
      <c r="H12" s="118" t="n">
        <f aca="false">H11</f>
        <v>8562392.07048272</v>
      </c>
      <c r="I12" s="118" t="n">
        <f aca="false">I11</f>
        <v>9006068.82667713</v>
      </c>
      <c r="J12" s="118" t="n">
        <f aca="false">J11</f>
        <v>9116017.57321856</v>
      </c>
      <c r="K12" s="118" t="n">
        <f aca="false">K11</f>
        <v>9099249.60794766</v>
      </c>
      <c r="L12" s="118" t="n">
        <f aca="false">L11</f>
        <v>8942473.22005589</v>
      </c>
      <c r="M12" s="118" t="n">
        <f aca="false">M11</f>
        <v>8618417.789674</v>
      </c>
      <c r="N12" s="118" t="n">
        <f aca="false">N11</f>
        <v>8100164.80974898</v>
      </c>
    </row>
    <row r="13" customFormat="false" ht="15.75" hidden="false" customHeight="false" outlineLevel="0" collapsed="false">
      <c r="A13" s="113" t="s">
        <v>148</v>
      </c>
      <c r="B13" s="113"/>
      <c r="C13" s="113"/>
      <c r="D13" s="113"/>
      <c r="E13" s="113"/>
      <c r="F13" s="113"/>
      <c r="G13" s="113"/>
      <c r="H13" s="113"/>
      <c r="I13" s="113"/>
      <c r="J13" s="113"/>
      <c r="K13" s="113"/>
      <c r="L13" s="113"/>
      <c r="M13" s="113"/>
      <c r="N13" s="113"/>
    </row>
    <row r="14" customFormat="false" ht="15.75" hidden="false" customHeight="false" outlineLevel="0" collapsed="false">
      <c r="A14" s="120" t="s">
        <v>201</v>
      </c>
      <c r="B14" s="121" t="s">
        <v>119</v>
      </c>
      <c r="C14" s="122" t="s">
        <v>76</v>
      </c>
      <c r="D14" s="122" t="s">
        <v>77</v>
      </c>
      <c r="E14" s="122" t="s">
        <v>78</v>
      </c>
      <c r="F14" s="122" t="s">
        <v>79</v>
      </c>
      <c r="G14" s="122" t="s">
        <v>80</v>
      </c>
      <c r="H14" s="122" t="s">
        <v>81</v>
      </c>
      <c r="I14" s="122" t="s">
        <v>82</v>
      </c>
      <c r="J14" s="122" t="s">
        <v>83</v>
      </c>
      <c r="K14" s="122" t="s">
        <v>84</v>
      </c>
      <c r="L14" s="122" t="s">
        <v>85</v>
      </c>
      <c r="M14" s="122" t="s">
        <v>86</v>
      </c>
      <c r="N14" s="122" t="s">
        <v>87</v>
      </c>
    </row>
    <row r="15" customFormat="false" ht="15.75" hidden="false" customHeight="false" outlineLevel="0" collapsed="false">
      <c r="A15" s="123" t="s">
        <v>202</v>
      </c>
      <c r="B15" s="124" t="s">
        <v>145</v>
      </c>
      <c r="C15" s="125" t="n">
        <f aca="false">'9Geração Própria - CALC'!C17*'2Tabela Tarifas Distribuidoras'!E20</f>
        <v>1081279.65</v>
      </c>
      <c r="D15" s="125" t="n">
        <v>1421429</v>
      </c>
      <c r="E15" s="125" t="n">
        <v>1606107</v>
      </c>
      <c r="F15" s="125" t="n">
        <v>1633675</v>
      </c>
      <c r="G15" s="125" t="n">
        <v>1661173</v>
      </c>
      <c r="H15" s="125" t="n">
        <v>1256673</v>
      </c>
      <c r="I15" s="125" t="n">
        <v>996049</v>
      </c>
      <c r="J15" s="125" t="n">
        <v>929346</v>
      </c>
      <c r="K15" s="125" t="n">
        <v>934616</v>
      </c>
      <c r="L15" s="125" t="n">
        <v>1002644</v>
      </c>
      <c r="M15" s="125" t="n">
        <v>1054435</v>
      </c>
      <c r="N15" s="125" t="n">
        <v>1285345</v>
      </c>
    </row>
    <row r="16" customFormat="false" ht="15.75" hidden="false" customHeight="true" outlineLevel="0" collapsed="false">
      <c r="A16" s="126" t="s">
        <v>203</v>
      </c>
      <c r="B16" s="124" t="s">
        <v>172</v>
      </c>
      <c r="C16" s="127" t="n">
        <f aca="false">('10Demanda - INPUT'!C6*'2Tabela Tarifas Distribuidoras'!E17)+('10Demanda - INPUT'!C7*'2Tabela Tarifas Distribuidoras'!E18)</f>
        <v>2539410.55058946</v>
      </c>
      <c r="D16" s="128" t="n">
        <f aca="false">('10Demanda - INPUT'!D6*'2Tabela Tarifas Distribuidoras'!F17)+('10Demanda - INPUT'!D7*'2Tabela Tarifas Distribuidoras'!F18)</f>
        <v>2539410.55058946</v>
      </c>
      <c r="E16" s="128" t="n">
        <f aca="false">('10Demanda - INPUT'!E6*'2Tabela Tarifas Distribuidoras'!G17)+('10Demanda - INPUT'!E7*'2Tabela Tarifas Distribuidoras'!G18)</f>
        <v>2539410.55058946</v>
      </c>
      <c r="F16" s="128" t="n">
        <f aca="false">('10Demanda - INPUT'!F6*'2Tabela Tarifas Distribuidoras'!H17)+('10Demanda - INPUT'!F7*'2Tabela Tarifas Distribuidoras'!H18)</f>
        <v>2539410.55058946</v>
      </c>
      <c r="G16" s="128" t="n">
        <f aca="false">('10Demanda - INPUT'!G6*'2Tabela Tarifas Distribuidoras'!I17)+('10Demanda - INPUT'!G7*'2Tabela Tarifas Distribuidoras'!I18)</f>
        <v>2539410.55058946</v>
      </c>
      <c r="H16" s="128" t="n">
        <f aca="false">('10Demanda - INPUT'!H6*'2Tabela Tarifas Distribuidoras'!J17)+('10Demanda - INPUT'!H7*'2Tabela Tarifas Distribuidoras'!J18)</f>
        <v>2539410.55058946</v>
      </c>
      <c r="I16" s="128" t="n">
        <f aca="false">('10Demanda - INPUT'!I6*'2Tabela Tarifas Distribuidoras'!K17)+('10Demanda - INPUT'!I7*'2Tabela Tarifas Distribuidoras'!K18)</f>
        <v>2831528.5320032</v>
      </c>
      <c r="J16" s="128" t="n">
        <f aca="false">('10Demanda - INPUT'!J6*'2Tabela Tarifas Distribuidoras'!L17)+('10Demanda - INPUT'!J7*'2Tabela Tarifas Distribuidoras'!L18)</f>
        <v>2522127.019644</v>
      </c>
      <c r="K16" s="128" t="n">
        <f aca="false">('10Demanda - INPUT'!K6*'2Tabela Tarifas Distribuidoras'!M17)+('10Demanda - INPUT'!K7*'2Tabela Tarifas Distribuidoras'!M18)</f>
        <v>2522127.019644</v>
      </c>
      <c r="L16" s="128" t="n">
        <f aca="false">('10Demanda - INPUT'!L6*'2Tabela Tarifas Distribuidoras'!N17)+('10Demanda - INPUT'!L7*'2Tabela Tarifas Distribuidoras'!N18)</f>
        <v>2522127.019644</v>
      </c>
      <c r="M16" s="128" t="n">
        <f aca="false">('10Demanda - INPUT'!M6*'2Tabela Tarifas Distribuidoras'!O17)+('10Demanda - INPUT'!M7*'2Tabela Tarifas Distribuidoras'!O18)</f>
        <v>2522127.019644</v>
      </c>
      <c r="N16" s="128" t="n">
        <f aca="false">('10Demanda - INPUT'!N6*'2Tabela Tarifas Distribuidoras'!P17)+('10Demanda - INPUT'!N7*'2Tabela Tarifas Distribuidoras'!P18)</f>
        <v>2522127.019644</v>
      </c>
    </row>
    <row r="17" customFormat="false" ht="15.75" hidden="false" customHeight="false" outlineLevel="0" collapsed="false">
      <c r="A17" s="126"/>
      <c r="B17" s="124" t="s">
        <v>145</v>
      </c>
      <c r="C17" s="127" t="n">
        <f aca="false">C16</f>
        <v>2539410.55058946</v>
      </c>
      <c r="D17" s="128" t="n">
        <f aca="false">D16</f>
        <v>2539410.55058946</v>
      </c>
      <c r="E17" s="128" t="n">
        <f aca="false">E16</f>
        <v>2539410.55058946</v>
      </c>
      <c r="F17" s="128" t="n">
        <f aca="false">F16</f>
        <v>2539410.55058946</v>
      </c>
      <c r="G17" s="128" t="n">
        <f aca="false">G16</f>
        <v>2539410.55058946</v>
      </c>
      <c r="H17" s="128" t="n">
        <f aca="false">H16</f>
        <v>2539410.55058946</v>
      </c>
      <c r="I17" s="128" t="n">
        <f aca="false">I16</f>
        <v>2831528.5320032</v>
      </c>
      <c r="J17" s="128" t="n">
        <f aca="false">J16</f>
        <v>2522127.019644</v>
      </c>
      <c r="K17" s="128" t="n">
        <f aca="false">K16</f>
        <v>2522127.019644</v>
      </c>
      <c r="L17" s="128" t="n">
        <f aca="false">L16</f>
        <v>2522127.019644</v>
      </c>
      <c r="M17" s="128" t="n">
        <f aca="false">M16</f>
        <v>2522127.019644</v>
      </c>
      <c r="N17" s="128" t="n">
        <f aca="false">N16</f>
        <v>2522127.019644</v>
      </c>
    </row>
    <row r="18" customFormat="false" ht="15.75" hidden="false" customHeight="true" outlineLevel="0" collapsed="false">
      <c r="A18" s="126" t="s">
        <v>204</v>
      </c>
      <c r="B18" s="124" t="s">
        <v>172</v>
      </c>
      <c r="C18" s="127" t="n">
        <f aca="false">SUM('7Consumo Área - CALC'!C11:C17)/1000*'2Tabela Tarifas Distribuidoras'!E21</f>
        <v>4149025.76459288</v>
      </c>
      <c r="D18" s="128" t="n">
        <f aca="false">SUM('7Consumo Área - CALC'!D11:D17)/1000*'2Tabela Tarifas Distribuidoras'!F21</f>
        <v>3955753.94998871</v>
      </c>
      <c r="E18" s="128" t="n">
        <f aca="false">SUM('7Consumo Área - CALC'!E11:E17)/1000*'2Tabela Tarifas Distribuidoras'!G21</f>
        <v>4153398.25062743</v>
      </c>
      <c r="F18" s="128" t="n">
        <f aca="false">SUM('7Consumo Área - CALC'!F11:F17)/1000*'2Tabela Tarifas Distribuidoras'!H21</f>
        <v>4549557.30117074</v>
      </c>
      <c r="G18" s="128" t="n">
        <f aca="false">SUM('7Consumo Área - CALC'!G11:G17)/1000*'2Tabela Tarifas Distribuidoras'!I21</f>
        <v>4561443.52662192</v>
      </c>
      <c r="H18" s="128" t="n">
        <f aca="false">SUM('7Consumo Área - CALC'!H11:H17)/1000*'2Tabela Tarifas Distribuidoras'!J21</f>
        <v>4728139.17654962</v>
      </c>
      <c r="I18" s="128" t="n">
        <f aca="false">SUM('7Consumo Área - CALC'!I11:I17)/1000*'2Tabela Tarifas Distribuidoras'!K21</f>
        <v>4877212.06202124</v>
      </c>
      <c r="J18" s="128" t="n">
        <f aca="false">SUM('7Consumo Área - CALC'!J11:J17)/1000*'2Tabela Tarifas Distribuidoras'!L21</f>
        <v>4350438.93611484</v>
      </c>
      <c r="K18" s="128" t="n">
        <f aca="false">SUM('7Consumo Área - CALC'!K11:K17)/1000*'2Tabela Tarifas Distribuidoras'!M21</f>
        <v>4470400.60892516</v>
      </c>
      <c r="L18" s="128" t="n">
        <f aca="false">SUM('7Consumo Área - CALC'!L11:L17)/1000*'2Tabela Tarifas Distribuidoras'!N21</f>
        <v>4477222.59940754</v>
      </c>
      <c r="M18" s="128" t="n">
        <f aca="false">SUM('7Consumo Área - CALC'!M11:M17)/1000*'2Tabela Tarifas Distribuidoras'!O21</f>
        <v>3893488.96440165</v>
      </c>
      <c r="N18" s="128" t="n">
        <f aca="false">SUM('7Consumo Área - CALC'!N11:N17)/1000*'2Tabela Tarifas Distribuidoras'!P21</f>
        <v>4157857.93674667</v>
      </c>
    </row>
    <row r="19" customFormat="false" ht="15.75" hidden="false" customHeight="true" outlineLevel="0" collapsed="false">
      <c r="A19" s="126"/>
      <c r="B19" s="124" t="s">
        <v>145</v>
      </c>
      <c r="C19" s="127" t="n">
        <f aca="false">IF(C18-C15&lt;0,0,C18-C15)</f>
        <v>3067746.11459288</v>
      </c>
      <c r="D19" s="128" t="n">
        <f aca="false">IF(D18-D15&lt;0,0,D18-D15)</f>
        <v>2534324.94998871</v>
      </c>
      <c r="E19" s="128" t="n">
        <f aca="false">IF(E18-E15&lt;0,0,E18-E15)</f>
        <v>2547291.25062743</v>
      </c>
      <c r="F19" s="128" t="n">
        <f aca="false">IF(F18-F15&lt;0,0,F18-F15)</f>
        <v>2915882.30117074</v>
      </c>
      <c r="G19" s="128" t="n">
        <f aca="false">IF(G18-G15&lt;0,0,G18-G15)</f>
        <v>2900270.52662192</v>
      </c>
      <c r="H19" s="128" t="n">
        <f aca="false">IF(H18-H15&lt;0,0,H18-H15)</f>
        <v>3471466.17654962</v>
      </c>
      <c r="I19" s="128" t="n">
        <f aca="false">IF(I18-I15&lt;0,0,I18-I15)</f>
        <v>3881163.06202124</v>
      </c>
      <c r="J19" s="128" t="n">
        <f aca="false">IF(J18-J15&lt;0,0,J18-J15)</f>
        <v>3421092.93611484</v>
      </c>
      <c r="K19" s="128" t="n">
        <f aca="false">IF(K18-K15&lt;0,0,K18-K15)</f>
        <v>3535784.60892516</v>
      </c>
      <c r="L19" s="128" t="n">
        <f aca="false">IF(L18-L15&lt;0,0,L18-L15)</f>
        <v>3474578.59940754</v>
      </c>
      <c r="M19" s="128" t="n">
        <f aca="false">IF(M18-M15&lt;0,0,M18-M15)</f>
        <v>2839053.96440165</v>
      </c>
      <c r="N19" s="128" t="n">
        <f aca="false">IF(N18-N15&lt;0,0,N18-N15)</f>
        <v>2872512.93674667</v>
      </c>
    </row>
    <row r="20" customFormat="false" ht="24" hidden="false" customHeight="true" outlineLevel="0" collapsed="false">
      <c r="A20" s="129" t="s">
        <v>205</v>
      </c>
      <c r="B20" s="124" t="s">
        <v>206</v>
      </c>
      <c r="C20" s="127" t="n">
        <f aca="false">'13Distribuição de Carga'!C22*'2Tabela Tarifas Distribuidoras'!E22</f>
        <v>5687739.69475187</v>
      </c>
      <c r="D20" s="128" t="n">
        <f aca="false">'13Distribuição de Carga'!D22*'2Tabela Tarifas Distribuidoras'!F22</f>
        <v>5600402.40629218</v>
      </c>
      <c r="E20" s="128" t="n">
        <f aca="false">'13Distribuição de Carga'!E22*'2Tabela Tarifas Distribuidoras'!G22</f>
        <v>5770275.83862362</v>
      </c>
      <c r="F20" s="128" t="n">
        <f aca="false">'13Distribuição de Carga'!F22*'2Tabela Tarifas Distribuidoras'!H22</f>
        <v>7164295.62357468</v>
      </c>
      <c r="G20" s="128" t="n">
        <f aca="false">'13Distribuição de Carga'!G22*'2Tabela Tarifas Distribuidoras'!I22</f>
        <v>7217183.63656096</v>
      </c>
      <c r="H20" s="128" t="n">
        <f aca="false">'13Distribuição de Carga'!H22*'2Tabela Tarifas Distribuidoras'!J22</f>
        <v>7988320.46257193</v>
      </c>
      <c r="I20" s="128" t="n">
        <f aca="false">'13Distribuição de Carga'!I22*'2Tabela Tarifas Distribuidoras'!K22</f>
        <v>8378911.4385641</v>
      </c>
      <c r="J20" s="128" t="n">
        <f aca="false">'13Distribuição de Carga'!J22*'2Tabela Tarifas Distribuidoras'!L22</f>
        <v>7742534.14479403</v>
      </c>
      <c r="K20" s="128" t="n">
        <f aca="false">'13Distribuição de Carga'!K22*'2Tabela Tarifas Distribuidoras'!M22</f>
        <v>8127073.87941814</v>
      </c>
      <c r="L20" s="128" t="n">
        <f aca="false">'13Distribuição de Carga'!L22*'2Tabela Tarifas Distribuidoras'!N22</f>
        <v>8000405.95465406</v>
      </c>
      <c r="M20" s="128" t="n">
        <f aca="false">'13Distribuição de Carga'!M22*'2Tabela Tarifas Distribuidoras'!O22</f>
        <v>6036745.14958429</v>
      </c>
      <c r="N20" s="128" t="n">
        <f aca="false">'13Distribuição de Carga'!N22*'2Tabela Tarifas Distribuidoras'!P22</f>
        <v>6081120.40497985</v>
      </c>
    </row>
    <row r="21" customFormat="false" ht="15.75" hidden="false" customHeight="true" outlineLevel="0" collapsed="false">
      <c r="A21" s="129"/>
      <c r="B21" s="130" t="s">
        <v>145</v>
      </c>
      <c r="C21" s="127" t="n">
        <f aca="false">C20</f>
        <v>5687739.69475187</v>
      </c>
      <c r="D21" s="128" t="n">
        <f aca="false">D20</f>
        <v>5600402.40629218</v>
      </c>
      <c r="E21" s="128" t="n">
        <f aca="false">E20</f>
        <v>5770275.83862362</v>
      </c>
      <c r="F21" s="128" t="n">
        <f aca="false">F20</f>
        <v>7164295.62357468</v>
      </c>
      <c r="G21" s="128" t="n">
        <f aca="false">G20</f>
        <v>7217183.63656096</v>
      </c>
      <c r="H21" s="128" t="n">
        <f aca="false">H20</f>
        <v>7988320.46257193</v>
      </c>
      <c r="I21" s="128" t="n">
        <f aca="false">I20</f>
        <v>8378911.4385641</v>
      </c>
      <c r="J21" s="128" t="n">
        <f aca="false">J20</f>
        <v>7742534.14479403</v>
      </c>
      <c r="K21" s="128" t="n">
        <f aca="false">K20</f>
        <v>8127073.87941814</v>
      </c>
      <c r="L21" s="128" t="n">
        <f aca="false">L20</f>
        <v>8000405.95465406</v>
      </c>
      <c r="M21" s="128" t="n">
        <f aca="false">M20</f>
        <v>6036745.14958429</v>
      </c>
      <c r="N21" s="128" t="n">
        <f aca="false">N20</f>
        <v>6081120.40497985</v>
      </c>
    </row>
  </sheetData>
  <mergeCells count="9">
    <mergeCell ref="A1:N1"/>
    <mergeCell ref="A2:N2"/>
    <mergeCell ref="A5:A7"/>
    <mergeCell ref="A8:A10"/>
    <mergeCell ref="A11:A12"/>
    <mergeCell ref="A13:N13"/>
    <mergeCell ref="A16:A17"/>
    <mergeCell ref="A18:A19"/>
    <mergeCell ref="A20:A2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67"/>
  <sheetViews>
    <sheetView showFormulas="false" showGridLines="true" showRowColHeaders="true" showZeros="true" rightToLeft="false" tabSelected="false" showOutlineSymbols="true" defaultGridColor="true" view="normal" topLeftCell="A27" colorId="64" zoomScale="70" zoomScaleNormal="70" zoomScalePageLayoutView="100" workbookViewId="0">
      <selection pane="topLeft" activeCell="L47" activeCellId="0" sqref="L47"/>
    </sheetView>
  </sheetViews>
  <sheetFormatPr defaultColWidth="11" defaultRowHeight="15.75" zeroHeight="false" outlineLevelRow="0" outlineLevelCol="0"/>
  <cols>
    <col collapsed="false" customWidth="true" hidden="false" outlineLevel="0" max="1" min="1" style="0" width="19.88"/>
    <col collapsed="false" customWidth="true" hidden="false" outlineLevel="0" max="2" min="2" style="0" width="17"/>
    <col collapsed="false" customWidth="true" hidden="false" outlineLevel="0" max="3" min="3" style="0" width="12.37"/>
  </cols>
  <sheetData>
    <row r="1" customFormat="false" ht="15.75" hidden="false" customHeight="false" outlineLevel="0" collapsed="false">
      <c r="A1" s="131" t="s">
        <v>207</v>
      </c>
      <c r="B1" s="131"/>
      <c r="C1" s="131"/>
      <c r="D1" s="131"/>
      <c r="E1" s="131"/>
      <c r="F1" s="131"/>
      <c r="G1" s="131"/>
      <c r="H1" s="131"/>
      <c r="I1" s="131"/>
      <c r="J1" s="131"/>
      <c r="K1" s="131"/>
      <c r="L1" s="131"/>
      <c r="M1" s="131"/>
      <c r="N1" s="131"/>
      <c r="O1" s="131"/>
    </row>
    <row r="2" customFormat="false" ht="15.75" hidden="false" customHeight="false" outlineLevel="0" collapsed="false">
      <c r="A2" s="132" t="s">
        <v>147</v>
      </c>
      <c r="B2" s="132"/>
      <c r="C2" s="132"/>
      <c r="D2" s="132"/>
      <c r="E2" s="132"/>
      <c r="F2" s="132"/>
      <c r="G2" s="132"/>
      <c r="H2" s="132"/>
      <c r="I2" s="132"/>
      <c r="J2" s="132"/>
      <c r="K2" s="132"/>
      <c r="L2" s="132"/>
      <c r="M2" s="132"/>
      <c r="N2" s="132"/>
      <c r="O2" s="132"/>
    </row>
    <row r="3" customFormat="false" ht="15.75" hidden="false" customHeight="false" outlineLevel="0" collapsed="false">
      <c r="A3" s="133" t="s">
        <v>62</v>
      </c>
      <c r="B3" s="133" t="s">
        <v>201</v>
      </c>
      <c r="C3" s="133" t="s">
        <v>208</v>
      </c>
      <c r="D3" s="55" t="s">
        <v>76</v>
      </c>
      <c r="E3" s="55" t="s">
        <v>77</v>
      </c>
      <c r="F3" s="55" t="s">
        <v>78</v>
      </c>
      <c r="G3" s="55" t="s">
        <v>79</v>
      </c>
      <c r="H3" s="55" t="s">
        <v>80</v>
      </c>
      <c r="I3" s="55" t="s">
        <v>81</v>
      </c>
      <c r="J3" s="55" t="s">
        <v>82</v>
      </c>
      <c r="K3" s="55" t="s">
        <v>83</v>
      </c>
      <c r="L3" s="55" t="s">
        <v>84</v>
      </c>
      <c r="M3" s="55" t="s">
        <v>85</v>
      </c>
      <c r="N3" s="55" t="s">
        <v>86</v>
      </c>
      <c r="O3" s="55" t="s">
        <v>87</v>
      </c>
    </row>
    <row r="4" customFormat="false" ht="15.75" hidden="false" customHeight="true" outlineLevel="0" collapsed="false">
      <c r="A4" s="134" t="s">
        <v>209</v>
      </c>
      <c r="B4" s="102" t="n">
        <v>50610002</v>
      </c>
      <c r="C4" s="102" t="s">
        <v>139</v>
      </c>
      <c r="D4" s="67" t="n">
        <f aca="false">'14Distrib de Classe de Custo'!C12*'7Consumo Área - CALC'!C38</f>
        <v>381180.091323001</v>
      </c>
      <c r="E4" s="67" t="n">
        <f aca="false">'14Distrib de Classe de Custo'!D12*'7Consumo Área - CALC'!D38</f>
        <v>396649.642659762</v>
      </c>
      <c r="F4" s="67" t="n">
        <f aca="false">'14Distrib de Classe de Custo'!E12*'7Consumo Área - CALC'!E38</f>
        <v>362267.611830779</v>
      </c>
      <c r="G4" s="67" t="n">
        <f aca="false">'14Distrib de Classe de Custo'!F12*'7Consumo Área - CALC'!F38</f>
        <v>367382.206148989</v>
      </c>
      <c r="H4" s="67" t="n">
        <f aca="false">'14Distrib de Classe de Custo'!G12*'7Consumo Área - CALC'!G38</f>
        <v>359875.328884517</v>
      </c>
      <c r="I4" s="67" t="n">
        <f aca="false">'14Distrib de Classe de Custo'!H12*'7Consumo Área - CALC'!H38</f>
        <v>408379.745898879</v>
      </c>
      <c r="J4" s="67" t="n">
        <f aca="false">'14Distrib de Classe de Custo'!I12*'7Consumo Área - CALC'!I38</f>
        <v>430013.947907256</v>
      </c>
      <c r="K4" s="67" t="n">
        <f aca="false">'14Distrib de Classe de Custo'!J12*'7Consumo Área - CALC'!J38</f>
        <v>440771.635488109</v>
      </c>
      <c r="L4" s="67" t="n">
        <f aca="false">'14Distrib de Classe de Custo'!K12*'7Consumo Área - CALC'!K38</f>
        <v>436691.910082548</v>
      </c>
      <c r="M4" s="67" t="n">
        <f aca="false">'14Distrib de Classe de Custo'!L12*'7Consumo Área - CALC'!L38</f>
        <v>435297.900419819</v>
      </c>
      <c r="N4" s="67" t="n">
        <f aca="false">'14Distrib de Classe de Custo'!M12*'7Consumo Área - CALC'!M38</f>
        <v>431734.059493876</v>
      </c>
      <c r="O4" s="67" t="n">
        <f aca="false">'14Distrib de Classe de Custo'!N12*'7Consumo Área - CALC'!N38</f>
        <v>411673.149616911</v>
      </c>
    </row>
    <row r="5" customFormat="false" ht="15.75" hidden="false" customHeight="false" outlineLevel="0" collapsed="false">
      <c r="A5" s="134"/>
      <c r="B5" s="102" t="n">
        <v>50610003</v>
      </c>
      <c r="C5" s="102" t="s">
        <v>210</v>
      </c>
      <c r="D5" s="67" t="n">
        <f aca="false">'14Distrib de Classe de Custo'!C7*'7Consumo Área - CALC'!C38</f>
        <v>95997.004243317</v>
      </c>
      <c r="E5" s="67" t="n">
        <f aca="false">'14Distrib de Classe de Custo'!D7*'7Consumo Área - CALC'!D38</f>
        <v>95329.9685188326</v>
      </c>
      <c r="F5" s="67" t="n">
        <f aca="false">'14Distrib de Classe de Custo'!E7*'7Consumo Área - CALC'!E38</f>
        <v>90805.4516595608</v>
      </c>
      <c r="G5" s="67" t="n">
        <f aca="false">'14Distrib de Classe de Custo'!F7*'7Consumo Área - CALC'!F38</f>
        <v>92385.516775521</v>
      </c>
      <c r="H5" s="67" t="n">
        <f aca="false">'14Distrib de Classe de Custo'!G7*'7Consumo Área - CALC'!G38</f>
        <v>90858.0722544455</v>
      </c>
      <c r="I5" s="67" t="n">
        <f aca="false">'14Distrib de Classe de Custo'!H7*'7Consumo Área - CALC'!H38</f>
        <v>90854.0389036851</v>
      </c>
      <c r="J5" s="67" t="n">
        <f aca="false">'14Distrib de Classe de Custo'!I7*'7Consumo Área - CALC'!I38</f>
        <v>107917.029201737</v>
      </c>
      <c r="K5" s="67" t="n">
        <f aca="false">'14Distrib de Classe de Custo'!J7*'7Consumo Área - CALC'!J38</f>
        <v>109282.641960522</v>
      </c>
      <c r="L5" s="67" t="n">
        <f aca="false">'14Distrib de Classe de Custo'!K7*'7Consumo Área - CALC'!K38</f>
        <v>108470.656401988</v>
      </c>
      <c r="M5" s="67" t="n">
        <f aca="false">'14Distrib de Classe de Custo'!L7*'7Consumo Área - CALC'!L38</f>
        <v>110019.995938847</v>
      </c>
      <c r="N5" s="67" t="n">
        <f aca="false">'14Distrib de Classe de Custo'!M7*'7Consumo Área - CALC'!M38</f>
        <v>113222.168529283</v>
      </c>
      <c r="O5" s="67" t="n">
        <f aca="false">'14Distrib de Classe de Custo'!N7*'7Consumo Área - CALC'!N38</f>
        <v>114868.615659772</v>
      </c>
    </row>
    <row r="6" customFormat="false" ht="15.75" hidden="false" customHeight="false" outlineLevel="0" collapsed="false">
      <c r="A6" s="134"/>
      <c r="B6" s="102" t="s">
        <v>211</v>
      </c>
      <c r="C6" s="102" t="s">
        <v>212</v>
      </c>
      <c r="D6" s="67" t="n">
        <f aca="false">'14Distrib de Classe de Custo'!C10*'7Consumo Área - CALC'!C38</f>
        <v>150213.070327436</v>
      </c>
      <c r="E6" s="67" t="n">
        <f aca="false">'14Distrib de Classe de Custo'!D10*'7Consumo Área - CALC'!D38</f>
        <v>156621.808316643</v>
      </c>
      <c r="F6" s="67" t="n">
        <f aca="false">'14Distrib de Classe de Custo'!E10*'7Consumo Área - CALC'!E38</f>
        <v>143156.903534493</v>
      </c>
      <c r="G6" s="67" t="n">
        <f aca="false">'14Distrib de Classe de Custo'!F10*'7Consumo Área - CALC'!F38</f>
        <v>145304.729052683</v>
      </c>
      <c r="H6" s="67" t="n">
        <f aca="false">'14Distrib de Classe de Custo'!G10*'7Consumo Área - CALC'!G38</f>
        <v>142431.645722973</v>
      </c>
      <c r="I6" s="67" t="n">
        <f aca="false">'14Distrib de Classe de Custo'!H10*'7Consumo Área - CALC'!H38</f>
        <v>146612.274544088</v>
      </c>
      <c r="J6" s="67" t="n">
        <f aca="false">'14Distrib de Classe de Custo'!I10*'7Consumo Área - CALC'!I38</f>
        <v>160818.379665048</v>
      </c>
      <c r="K6" s="67" t="n">
        <f aca="false">'14Distrib de Classe de Custo'!J10*'7Consumo Área - CALC'!J38</f>
        <v>164440.851803394</v>
      </c>
      <c r="L6" s="67" t="n">
        <f aca="false">'14Distrib de Classe de Custo'!K10*'7Consumo Área - CALC'!K38</f>
        <v>162999.222482162</v>
      </c>
      <c r="M6" s="67" t="n">
        <f aca="false">'14Distrib de Classe de Custo'!L10*'7Consumo Área - CALC'!L38</f>
        <v>162457.041928533</v>
      </c>
      <c r="N6" s="67" t="n">
        <f aca="false">'14Distrib de Classe de Custo'!M10*'7Consumo Área - CALC'!M38</f>
        <v>159968.043175208</v>
      </c>
      <c r="O6" s="67" t="n">
        <f aca="false">'14Distrib de Classe de Custo'!N10*'7Consumo Área - CALC'!N38</f>
        <v>152777.166992419</v>
      </c>
    </row>
    <row r="7" customFormat="false" ht="15.75" hidden="false" customHeight="true" outlineLevel="0" collapsed="false">
      <c r="A7" s="134" t="s">
        <v>213</v>
      </c>
      <c r="B7" s="102" t="n">
        <v>50610002</v>
      </c>
      <c r="C7" s="102" t="s">
        <v>139</v>
      </c>
      <c r="D7" s="67" t="n">
        <f aca="false">'14Distrib de Classe de Custo'!C12*'7Consumo Área - CALC'!C39</f>
        <v>205400.627545776</v>
      </c>
      <c r="E7" s="67" t="n">
        <f aca="false">'14Distrib de Classe de Custo'!D12*'7Consumo Área - CALC'!D39</f>
        <v>194481.270747906</v>
      </c>
      <c r="F7" s="67" t="n">
        <f aca="false">'14Distrib de Classe de Custo'!E12*'7Consumo Área - CALC'!E39</f>
        <v>206449.910650026</v>
      </c>
      <c r="G7" s="67" t="n">
        <f aca="false">'14Distrib de Classe de Custo'!F12*'7Consumo Área - CALC'!F39</f>
        <v>199198.128994462</v>
      </c>
      <c r="H7" s="67" t="n">
        <f aca="false">'14Distrib de Classe de Custo'!G12*'7Consumo Área - CALC'!G39</f>
        <v>204939.471166693</v>
      </c>
      <c r="I7" s="67" t="n">
        <f aca="false">'14Distrib de Classe de Custo'!H12*'7Consumo Área - CALC'!H39</f>
        <v>225048.366078524</v>
      </c>
      <c r="J7" s="67" t="n">
        <f aca="false">'14Distrib de Classe de Custo'!I12*'7Consumo Área - CALC'!I39</f>
        <v>244694.511758168</v>
      </c>
      <c r="K7" s="67" t="n">
        <f aca="false">'14Distrib de Classe de Custo'!J12*'7Consumo Área - CALC'!J39</f>
        <v>247652.702310521</v>
      </c>
      <c r="L7" s="67" t="n">
        <f aca="false">'14Distrib de Classe de Custo'!K12*'7Consumo Área - CALC'!K39</f>
        <v>239166.095412863</v>
      </c>
      <c r="M7" s="67" t="n">
        <f aca="false">'14Distrib de Classe de Custo'!L12*'7Consumo Área - CALC'!L39</f>
        <v>242879.939515713</v>
      </c>
      <c r="N7" s="67" t="n">
        <f aca="false">'14Distrib de Classe de Custo'!M12*'7Consumo Área - CALC'!M39</f>
        <v>226535.417606732</v>
      </c>
      <c r="O7" s="67" t="n">
        <f aca="false">'14Distrib de Classe de Custo'!N12*'7Consumo Área - CALC'!N39</f>
        <v>220108.42643181</v>
      </c>
    </row>
    <row r="8" customFormat="false" ht="15.75" hidden="false" customHeight="false" outlineLevel="0" collapsed="false">
      <c r="A8" s="134"/>
      <c r="B8" s="102" t="n">
        <v>50610003</v>
      </c>
      <c r="C8" s="102" t="s">
        <v>210</v>
      </c>
      <c r="D8" s="67" t="n">
        <f aca="false">'14Distrib de Classe de Custo'!C7*'7Consumo Área - CALC'!C39</f>
        <v>51728.4227664019</v>
      </c>
      <c r="E8" s="67" t="n">
        <f aca="false">'14Distrib de Classe de Custo'!D7*'7Consumo Área - CALC'!D39</f>
        <v>46741.2331285108</v>
      </c>
      <c r="F8" s="67" t="n">
        <f aca="false">'14Distrib de Classe de Custo'!E7*'7Consumo Área - CALC'!E39</f>
        <v>51748.4223525024</v>
      </c>
      <c r="G8" s="67" t="n">
        <f aca="false">'14Distrib de Classe de Custo'!F7*'7Consumo Área - CALC'!F39</f>
        <v>50092.3065403093</v>
      </c>
      <c r="H8" s="67" t="n">
        <f aca="false">'14Distrib de Classe de Custo'!G7*'7Consumo Área - CALC'!G39</f>
        <v>51741.2664457099</v>
      </c>
      <c r="I8" s="67" t="n">
        <f aca="false">'14Distrib de Classe de Custo'!H7*'7Consumo Área - CALC'!H39</f>
        <v>50067.5001937337</v>
      </c>
      <c r="J8" s="67" t="n">
        <f aca="false">'14Distrib de Classe de Custo'!I7*'7Consumo Área - CALC'!I39</f>
        <v>61408.949406</v>
      </c>
      <c r="K8" s="67" t="n">
        <f aca="false">'14Distrib de Classe de Custo'!J7*'7Consumo Área - CALC'!J39</f>
        <v>61401.7314593886</v>
      </c>
      <c r="L8" s="67" t="n">
        <f aca="false">'14Distrib de Classe de Custo'!K7*'7Consumo Área - CALC'!K39</f>
        <v>59406.8787618019</v>
      </c>
      <c r="M8" s="67" t="n">
        <f aca="false">'14Distrib de Classe de Custo'!L7*'7Consumo Área - CALC'!L39</f>
        <v>61387.0407676554</v>
      </c>
      <c r="N8" s="67" t="n">
        <f aca="false">'14Distrib de Classe de Custo'!M7*'7Consumo Área - CALC'!M39</f>
        <v>59408.8667921849</v>
      </c>
      <c r="O8" s="67" t="n">
        <f aca="false">'14Distrib de Classe de Custo'!N7*'7Consumo Área - CALC'!N39</f>
        <v>61416.5637540382</v>
      </c>
    </row>
    <row r="9" customFormat="false" ht="15.75" hidden="false" customHeight="false" outlineLevel="0" collapsed="false">
      <c r="A9" s="134"/>
      <c r="B9" s="102" t="s">
        <v>211</v>
      </c>
      <c r="C9" s="102" t="s">
        <v>212</v>
      </c>
      <c r="D9" s="67" t="n">
        <f aca="false">'14Distrib de Classe de Custo'!C10*'7Consumo Área - CALC'!C39</f>
        <v>80942.9967964634</v>
      </c>
      <c r="E9" s="67" t="n">
        <f aca="false">'14Distrib de Classe de Custo'!D10*'7Consumo Área - CALC'!D39</f>
        <v>76793.2326977631</v>
      </c>
      <c r="F9" s="67" t="n">
        <f aca="false">'14Distrib de Classe de Custo'!E10*'7Consumo Área - CALC'!E39</f>
        <v>81582.5897166759</v>
      </c>
      <c r="G9" s="67" t="n">
        <f aca="false">'14Distrib de Classe de Custo'!F10*'7Consumo Área - CALC'!F39</f>
        <v>78785.6071330889</v>
      </c>
      <c r="H9" s="67" t="n">
        <f aca="false">'14Distrib de Classe de Custo'!G10*'7Consumo Área - CALC'!G39</f>
        <v>81111.0509918695</v>
      </c>
      <c r="I9" s="67" t="n">
        <f aca="false">'14Distrib de Classe de Custo'!H10*'7Consumo Área - CALC'!H39</f>
        <v>80794.537840212</v>
      </c>
      <c r="J9" s="67" t="n">
        <f aca="false">'14Distrib de Classe de Custo'!I10*'7Consumo Área - CALC'!I39</f>
        <v>91511.8569650809</v>
      </c>
      <c r="K9" s="67" t="n">
        <f aca="false">'14Distrib de Classe de Custo'!J10*'7Consumo Área - CALC'!J39</f>
        <v>92393.017246349</v>
      </c>
      <c r="L9" s="67" t="n">
        <f aca="false">'14Distrib de Classe de Custo'!K10*'7Consumo Área - CALC'!K39</f>
        <v>89270.9177713462</v>
      </c>
      <c r="M9" s="67" t="n">
        <f aca="false">'14Distrib de Classe de Custo'!L10*'7Consumo Área - CALC'!L39</f>
        <v>90644.9502270725</v>
      </c>
      <c r="N9" s="67" t="n">
        <f aca="false">'14Distrib de Classe de Custo'!M10*'7Consumo Área - CALC'!M39</f>
        <v>83936.9205823371</v>
      </c>
      <c r="O9" s="67" t="n">
        <f aca="false">'14Distrib de Classe de Custo'!N10*'7Consumo Área - CALC'!N39</f>
        <v>81685.0500274399</v>
      </c>
    </row>
    <row r="10" customFormat="false" ht="15.75" hidden="false" customHeight="true" outlineLevel="0" collapsed="false">
      <c r="A10" s="134" t="s">
        <v>214</v>
      </c>
      <c r="B10" s="102" t="n">
        <v>50610002</v>
      </c>
      <c r="C10" s="102" t="s">
        <v>139</v>
      </c>
      <c r="D10" s="67" t="n">
        <f aca="false">'14Distrib de Classe de Custo'!C12*'7Consumo Área - CALC'!C40</f>
        <v>114195.626936369</v>
      </c>
      <c r="E10" s="67" t="n">
        <f aca="false">'14Distrib de Classe de Custo'!D12*'7Consumo Área - CALC'!D40</f>
        <v>119661.532755864</v>
      </c>
      <c r="F10" s="67" t="n">
        <f aca="false">'14Distrib de Classe de Custo'!E12*'7Consumo Área - CALC'!E40</f>
        <v>114734.632494869</v>
      </c>
      <c r="G10" s="67" t="n">
        <f aca="false">'14Distrib de Classe de Custo'!F12*'7Consumo Área - CALC'!F40</f>
        <v>114364.482471849</v>
      </c>
      <c r="H10" s="67" t="n">
        <f aca="false">'14Distrib de Classe de Custo'!G12*'7Consumo Área - CALC'!G40</f>
        <v>113910.956963702</v>
      </c>
      <c r="I10" s="67" t="n">
        <f aca="false">'14Distrib de Classe de Custo'!H12*'7Consumo Área - CALC'!H40</f>
        <v>129269.747257764</v>
      </c>
      <c r="J10" s="67" t="n">
        <f aca="false">'14Distrib de Classe de Custo'!I12*'7Consumo Área - CALC'!I40</f>
        <v>135968.106976085</v>
      </c>
      <c r="K10" s="67" t="n">
        <f aca="false">'14Distrib de Classe de Custo'!J12*'7Consumo Área - CALC'!J40</f>
        <v>137628.045759514</v>
      </c>
      <c r="L10" s="67" t="n">
        <f aca="false">'14Distrib de Classe de Custo'!K12*'7Consumo Área - CALC'!K40</f>
        <v>137374.893297591</v>
      </c>
      <c r="M10" s="67" t="n">
        <f aca="false">'14Distrib de Classe de Custo'!L12*'7Consumo Área - CALC'!L40</f>
        <v>135007.979487533</v>
      </c>
      <c r="N10" s="67" t="n">
        <f aca="false">'14Distrib de Classe de Custo'!M12*'7Consumo Área - CALC'!M40</f>
        <v>130115.589225776</v>
      </c>
      <c r="O10" s="67" t="n">
        <f aca="false">'14Distrib de Classe de Custo'!N12*'7Consumo Área - CALC'!N40</f>
        <v>122291.323392232</v>
      </c>
    </row>
    <row r="11" customFormat="false" ht="15.75" hidden="false" customHeight="false" outlineLevel="0" collapsed="false">
      <c r="A11" s="134"/>
      <c r="B11" s="102" t="n">
        <v>50610003</v>
      </c>
      <c r="C11" s="102" t="s">
        <v>210</v>
      </c>
      <c r="D11" s="67" t="n">
        <f aca="false">'14Distrib de Classe de Custo'!C7*'7Consumo Área - CALC'!C40</f>
        <v>28759.2094475091</v>
      </c>
      <c r="E11" s="67" t="n">
        <f aca="false">'14Distrib de Classe de Custo'!D7*'7Consumo Área - CALC'!D40</f>
        <v>28759.2094475091</v>
      </c>
      <c r="F11" s="67" t="n">
        <f aca="false">'14Distrib de Classe de Custo'!E7*'7Consumo Área - CALC'!E40</f>
        <v>28759.2094475091</v>
      </c>
      <c r="G11" s="67" t="n">
        <f aca="false">'14Distrib de Classe de Custo'!F7*'7Consumo Área - CALC'!F40</f>
        <v>28759.2094475091</v>
      </c>
      <c r="H11" s="67" t="n">
        <f aca="false">'14Distrib de Classe de Custo'!G7*'7Consumo Área - CALC'!G40</f>
        <v>28759.2094475091</v>
      </c>
      <c r="I11" s="67" t="n">
        <f aca="false">'14Distrib de Classe de Custo'!H7*'7Consumo Área - CALC'!H40</f>
        <v>28759.2094475091</v>
      </c>
      <c r="J11" s="67" t="n">
        <f aca="false">'14Distrib de Classe de Custo'!I7*'7Consumo Área - CALC'!I40</f>
        <v>34122.7865804198</v>
      </c>
      <c r="K11" s="67" t="n">
        <f aca="false">'14Distrib de Classe de Custo'!J7*'7Consumo Área - CALC'!J40</f>
        <v>34122.7865804198</v>
      </c>
      <c r="L11" s="67" t="n">
        <f aca="false">'14Distrib de Classe de Custo'!K7*'7Consumo Área - CALC'!K40</f>
        <v>34122.7865804198</v>
      </c>
      <c r="M11" s="67" t="n">
        <f aca="false">'14Distrib de Classe de Custo'!L7*'7Consumo Área - CALC'!L40</f>
        <v>34122.7865804198</v>
      </c>
      <c r="N11" s="67" t="n">
        <f aca="false">'14Distrib de Classe de Custo'!M7*'7Consumo Área - CALC'!M40</f>
        <v>34122.7865804198</v>
      </c>
      <c r="O11" s="67" t="n">
        <f aca="false">'14Distrib de Classe de Custo'!N7*'7Consumo Área - CALC'!N40</f>
        <v>34122.7865804198</v>
      </c>
    </row>
    <row r="12" customFormat="false" ht="15.75" hidden="false" customHeight="false" outlineLevel="0" collapsed="false">
      <c r="A12" s="134"/>
      <c r="B12" s="102" t="s">
        <v>211</v>
      </c>
      <c r="C12" s="102" t="s">
        <v>212</v>
      </c>
      <c r="D12" s="67" t="n">
        <f aca="false">'14Distrib de Classe de Custo'!C10*'7Consumo Área - CALC'!C40</f>
        <v>45001.4996337858</v>
      </c>
      <c r="E12" s="67" t="n">
        <f aca="false">'14Distrib de Classe de Custo'!D10*'7Consumo Área - CALC'!D40</f>
        <v>47249.7731763766</v>
      </c>
      <c r="F12" s="67" t="n">
        <f aca="false">'14Distrib de Classe de Custo'!E10*'7Consumo Área - CALC'!E40</f>
        <v>45339.5616382232</v>
      </c>
      <c r="G12" s="67" t="n">
        <f aca="false">'14Distrib de Classe de Custo'!F10*'7Consumo Área - CALC'!F40</f>
        <v>45232.7300034861</v>
      </c>
      <c r="H12" s="67" t="n">
        <f aca="false">'14Distrib de Classe de Custo'!G10*'7Consumo Área - CALC'!G40</f>
        <v>45083.7380725957</v>
      </c>
      <c r="I12" s="67" t="n">
        <f aca="false">'14Distrib de Classe de Custo'!H10*'7Consumo Área - CALC'!H40</f>
        <v>46409.0882702423</v>
      </c>
      <c r="J12" s="67" t="n">
        <f aca="false">'14Distrib de Classe de Custo'!I10*'7Consumo Área - CALC'!I40</f>
        <v>50849.9102329906</v>
      </c>
      <c r="K12" s="67" t="n">
        <f aca="false">'14Distrib de Classe de Custo'!J10*'7Consumo Área - CALC'!J40</f>
        <v>51345.5750202</v>
      </c>
      <c r="L12" s="67" t="n">
        <f aca="false">'14Distrib de Classe de Custo'!K10*'7Consumo Área - CALC'!K40</f>
        <v>51276.4268791801</v>
      </c>
      <c r="M12" s="67" t="n">
        <f aca="false">'14Distrib de Classe de Custo'!L10*'7Consumo Área - CALC'!L40</f>
        <v>50386.1768300272</v>
      </c>
      <c r="N12" s="67" t="n">
        <f aca="false">'14Distrib de Classe de Custo'!M10*'7Consumo Área - CALC'!M40</f>
        <v>48211.0126299448</v>
      </c>
      <c r="O12" s="67" t="n">
        <f aca="false">'14Distrib de Classe de Custo'!N10*'7Consumo Área - CALC'!N40</f>
        <v>45383.8729900284</v>
      </c>
    </row>
    <row r="13" customFormat="false" ht="15.75" hidden="false" customHeight="true" outlineLevel="0" collapsed="false">
      <c r="A13" s="134" t="s">
        <v>215</v>
      </c>
      <c r="B13" s="102" t="n">
        <v>50610002</v>
      </c>
      <c r="C13" s="102" t="s">
        <v>139</v>
      </c>
      <c r="D13" s="67" t="n">
        <f aca="false">'14Distrib de Classe de Custo'!C12*'7Consumo Área - CALC'!C41</f>
        <v>2791787.94093238</v>
      </c>
      <c r="E13" s="67" t="n">
        <f aca="false">'14Distrib de Classe de Custo'!D12*'7Consumo Área - CALC'!D41</f>
        <v>2925415.21163024</v>
      </c>
      <c r="F13" s="67" t="n">
        <f aca="false">'14Distrib de Classe de Custo'!E12*'7Consumo Área - CALC'!E41</f>
        <v>2804965.23378227</v>
      </c>
      <c r="G13" s="67" t="n">
        <f aca="false">'14Distrib de Classe de Custo'!F12*'7Consumo Área - CALC'!F41</f>
        <v>2795916.02236912</v>
      </c>
      <c r="H13" s="67" t="n">
        <f aca="false">'14Distrib de Classe de Custo'!G12*'7Consumo Área - CALC'!G41</f>
        <v>2784828.49582789</v>
      </c>
      <c r="I13" s="67" t="n">
        <f aca="false">'14Distrib de Classe de Custo'!H12*'7Consumo Área - CALC'!H41</f>
        <v>3160311.22385007</v>
      </c>
      <c r="J13" s="67" t="n">
        <f aca="false">'14Distrib de Classe de Custo'!I12*'7Consumo Área - CALC'!I41</f>
        <v>3324068.80710724</v>
      </c>
      <c r="K13" s="67" t="n">
        <f aca="false">'14Distrib de Classe de Custo'!J12*'7Consumo Área - CALC'!J41</f>
        <v>3364650.02026389</v>
      </c>
      <c r="L13" s="67" t="n">
        <f aca="false">'14Distrib de Classe de Custo'!K12*'7Consumo Área - CALC'!K41</f>
        <v>3358461.09684033</v>
      </c>
      <c r="M13" s="67" t="n">
        <f aca="false">'14Distrib de Classe de Custo'!L12*'7Consumo Área - CALC'!L41</f>
        <v>3300596.17145376</v>
      </c>
      <c r="N13" s="67" t="n">
        <f aca="false">'14Distrib de Classe de Custo'!M12*'7Consumo Área - CALC'!M41</f>
        <v>3180989.87389634</v>
      </c>
      <c r="O13" s="67" t="n">
        <f aca="false">'14Distrib de Classe de Custo'!N12*'7Consumo Área - CALC'!N41</f>
        <v>2989706.79601709</v>
      </c>
    </row>
    <row r="14" customFormat="false" ht="15.75" hidden="false" customHeight="false" outlineLevel="0" collapsed="false">
      <c r="A14" s="134"/>
      <c r="B14" s="102" t="n">
        <v>50610003</v>
      </c>
      <c r="C14" s="102" t="s">
        <v>210</v>
      </c>
      <c r="D14" s="67" t="n">
        <f aca="false">'14Distrib de Classe de Custo'!C7*'7Consumo Área - CALC'!C41</f>
        <v>703088.343050501</v>
      </c>
      <c r="E14" s="67" t="n">
        <f aca="false">'14Distrib de Classe de Custo'!D7*'7Consumo Área - CALC'!D41</f>
        <v>703088.343050501</v>
      </c>
      <c r="F14" s="67" t="n">
        <f aca="false">'14Distrib de Classe de Custo'!E7*'7Consumo Área - CALC'!E41</f>
        <v>703088.343050501</v>
      </c>
      <c r="G14" s="67" t="n">
        <f aca="false">'14Distrib de Classe de Custo'!F7*'7Consumo Área - CALC'!F41</f>
        <v>703088.343050501</v>
      </c>
      <c r="H14" s="67" t="n">
        <f aca="false">'14Distrib de Classe de Custo'!G7*'7Consumo Área - CALC'!G41</f>
        <v>703088.343050501</v>
      </c>
      <c r="I14" s="67" t="n">
        <f aca="false">'14Distrib de Classe de Custo'!H7*'7Consumo Área - CALC'!H41</f>
        <v>703088.343050501</v>
      </c>
      <c r="J14" s="67" t="n">
        <f aca="false">'14Distrib de Classe de Custo'!I7*'7Consumo Área - CALC'!I41</f>
        <v>834213.941829028</v>
      </c>
      <c r="K14" s="67" t="n">
        <f aca="false">'14Distrib de Classe de Custo'!J7*'7Consumo Área - CALC'!J41</f>
        <v>834213.941829028</v>
      </c>
      <c r="L14" s="67" t="n">
        <f aca="false">'14Distrib de Classe de Custo'!K7*'7Consumo Área - CALC'!K41</f>
        <v>834213.941829028</v>
      </c>
      <c r="M14" s="67" t="n">
        <f aca="false">'14Distrib de Classe de Custo'!L7*'7Consumo Área - CALC'!L41</f>
        <v>834213.941829028</v>
      </c>
      <c r="N14" s="67" t="n">
        <f aca="false">'14Distrib de Classe de Custo'!M7*'7Consumo Área - CALC'!M41</f>
        <v>834213.941829028</v>
      </c>
      <c r="O14" s="67" t="n">
        <f aca="false">'14Distrib de Classe de Custo'!N7*'7Consumo Área - CALC'!N41</f>
        <v>834213.941829028</v>
      </c>
    </row>
    <row r="15" customFormat="false" ht="15.75" hidden="false" customHeight="false" outlineLevel="0" collapsed="false">
      <c r="A15" s="134"/>
      <c r="B15" s="102" t="s">
        <v>211</v>
      </c>
      <c r="C15" s="102" t="s">
        <v>212</v>
      </c>
      <c r="D15" s="67" t="n">
        <f aca="false">'14Distrib de Classe de Custo'!C10*'7Consumo Área - CALC'!C41</f>
        <v>1100170.36003911</v>
      </c>
      <c r="E15" s="67" t="n">
        <f aca="false">'14Distrib de Classe de Custo'!D10*'7Consumo Área - CALC'!D41</f>
        <v>1155134.83751091</v>
      </c>
      <c r="F15" s="67" t="n">
        <f aca="false">'14Distrib de Classe de Custo'!E10*'7Consumo Área - CALC'!E41</f>
        <v>1108435.10232912</v>
      </c>
      <c r="G15" s="67" t="n">
        <f aca="false">'14Distrib de Classe de Custo'!F10*'7Consumo Área - CALC'!F41</f>
        <v>1105823.34496528</v>
      </c>
      <c r="H15" s="67" t="n">
        <f aca="false">'14Distrib de Classe de Custo'!G10*'7Consumo Área - CALC'!G41</f>
        <v>1102180.87732344</v>
      </c>
      <c r="I15" s="67" t="n">
        <f aca="false">'14Distrib de Classe de Custo'!H10*'7Consumo Área - CALC'!H41</f>
        <v>1134582.26429917</v>
      </c>
      <c r="J15" s="67" t="n">
        <f aca="false">'14Distrib de Classe de Custo'!I10*'7Consumo Área - CALC'!I41</f>
        <v>1243148.88402041</v>
      </c>
      <c r="K15" s="67" t="n">
        <f aca="false">'14Distrib de Classe de Custo'!J10*'7Consumo Área - CALC'!J41</f>
        <v>1255266.60702609</v>
      </c>
      <c r="L15" s="67" t="n">
        <f aca="false">'14Distrib de Classe de Custo'!K10*'7Consumo Área - CALC'!K41</f>
        <v>1253576.11369096</v>
      </c>
      <c r="M15" s="67" t="n">
        <f aca="false">'14Distrib de Classe de Custo'!L10*'7Consumo Área - CALC'!L41</f>
        <v>1231811.80083313</v>
      </c>
      <c r="N15" s="67" t="n">
        <f aca="false">'14Distrib de Classe de Custo'!M10*'7Consumo Área - CALC'!M41</f>
        <v>1178634.65783516</v>
      </c>
      <c r="O15" s="67" t="n">
        <f aca="false">'14Distrib de Classe de Custo'!N10*'7Consumo Área - CALC'!N41</f>
        <v>1109518.40035843</v>
      </c>
    </row>
    <row r="16" customFormat="false" ht="15.75" hidden="false" customHeight="true" outlineLevel="0" collapsed="false">
      <c r="A16" s="134" t="s">
        <v>216</v>
      </c>
      <c r="B16" s="102" t="n">
        <v>50610002</v>
      </c>
      <c r="C16" s="102" t="s">
        <v>139</v>
      </c>
      <c r="D16" s="67" t="n">
        <f aca="false">'14Distrib de Classe de Custo'!C12*'7Consumo Área - CALC'!C42</f>
        <v>3062763.01841567</v>
      </c>
      <c r="E16" s="67" t="n">
        <f aca="false">'14Distrib de Classe de Custo'!D12*'7Consumo Área - CALC'!D42</f>
        <v>3209360.35016306</v>
      </c>
      <c r="F16" s="67" t="n">
        <f aca="false">'14Distrib de Classe de Custo'!E12*'7Consumo Área - CALC'!E42</f>
        <v>3077219.31885014</v>
      </c>
      <c r="G16" s="67" t="n">
        <f aca="false">'14Distrib de Classe de Custo'!F12*'7Consumo Área - CALC'!F42</f>
        <v>3067291.77755818</v>
      </c>
      <c r="H16" s="67" t="n">
        <f aca="false">'14Distrib de Classe de Custo'!G12*'7Consumo Área - CALC'!G42</f>
        <v>3055128.07924918</v>
      </c>
      <c r="I16" s="67" t="n">
        <f aca="false">'14Distrib de Classe de Custo'!H12*'7Consumo Área - CALC'!H42</f>
        <v>3467055.71765574</v>
      </c>
      <c r="J16" s="67" t="n">
        <f aca="false">'14Distrib de Classe de Custo'!I12*'7Consumo Área - CALC'!I42</f>
        <v>3646707.85477962</v>
      </c>
      <c r="K16" s="67" t="n">
        <f aca="false">'14Distrib de Classe de Custo'!J12*'7Consumo Área - CALC'!J42</f>
        <v>3691227.94066305</v>
      </c>
      <c r="L16" s="67" t="n">
        <f aca="false">'14Distrib de Classe de Custo'!K12*'7Consumo Área - CALC'!K42</f>
        <v>3684438.31115446</v>
      </c>
      <c r="M16" s="67" t="n">
        <f aca="false">'14Distrib de Classe de Custo'!L12*'7Consumo Área - CALC'!L42</f>
        <v>3620956.93030209</v>
      </c>
      <c r="N16" s="67" t="n">
        <f aca="false">'14Distrib de Classe de Custo'!M12*'7Consumo Área - CALC'!M42</f>
        <v>3489741.46813983</v>
      </c>
      <c r="O16" s="67" t="n">
        <f aca="false">'14Distrib de Classe de Custo'!N12*'7Consumo Área - CALC'!N42</f>
        <v>3279892.17106835</v>
      </c>
    </row>
    <row r="17" customFormat="false" ht="15.75" hidden="false" customHeight="false" outlineLevel="0" collapsed="false">
      <c r="A17" s="134"/>
      <c r="B17" s="102" t="n">
        <v>50610003</v>
      </c>
      <c r="C17" s="102" t="s">
        <v>210</v>
      </c>
      <c r="D17" s="67" t="n">
        <f aca="false">'14Distrib de Classe de Custo'!C7*'7Consumo Área - CALC'!C42</f>
        <v>771331.140235188</v>
      </c>
      <c r="E17" s="67" t="n">
        <f aca="false">'14Distrib de Classe de Custo'!D7*'7Consumo Área - CALC'!D42</f>
        <v>771331.140235188</v>
      </c>
      <c r="F17" s="67" t="n">
        <f aca="false">'14Distrib de Classe de Custo'!E7*'7Consumo Área - CALC'!E42</f>
        <v>771331.140235188</v>
      </c>
      <c r="G17" s="67" t="n">
        <f aca="false">'14Distrib de Classe de Custo'!F7*'7Consumo Área - CALC'!F42</f>
        <v>771331.140235188</v>
      </c>
      <c r="H17" s="67" t="n">
        <f aca="false">'14Distrib de Classe de Custo'!G7*'7Consumo Área - CALC'!G42</f>
        <v>771331.140235188</v>
      </c>
      <c r="I17" s="67" t="n">
        <f aca="false">'14Distrib de Classe de Custo'!H7*'7Consumo Área - CALC'!H42</f>
        <v>771331.140235188</v>
      </c>
      <c r="J17" s="67" t="n">
        <f aca="false">'14Distrib de Classe de Custo'!I7*'7Consumo Área - CALC'!I42</f>
        <v>915183.984077031</v>
      </c>
      <c r="K17" s="67" t="n">
        <f aca="false">'14Distrib de Classe de Custo'!J7*'7Consumo Área - CALC'!J42</f>
        <v>915183.984077031</v>
      </c>
      <c r="L17" s="67" t="n">
        <f aca="false">'14Distrib de Classe de Custo'!K7*'7Consumo Área - CALC'!K42</f>
        <v>915183.984077031</v>
      </c>
      <c r="M17" s="67" t="n">
        <f aca="false">'14Distrib de Classe de Custo'!L7*'7Consumo Área - CALC'!L42</f>
        <v>915183.984077031</v>
      </c>
      <c r="N17" s="67" t="n">
        <f aca="false">'14Distrib de Classe de Custo'!M7*'7Consumo Área - CALC'!M42</f>
        <v>915183.984077031</v>
      </c>
      <c r="O17" s="67" t="n">
        <f aca="false">'14Distrib de Classe de Custo'!N7*'7Consumo Área - CALC'!N42</f>
        <v>915183.984077031</v>
      </c>
    </row>
    <row r="18" customFormat="false" ht="15.75" hidden="false" customHeight="false" outlineLevel="0" collapsed="false">
      <c r="A18" s="134"/>
      <c r="B18" s="102" t="s">
        <v>211</v>
      </c>
      <c r="C18" s="102" t="s">
        <v>212</v>
      </c>
      <c r="D18" s="67" t="n">
        <f aca="false">'14Distrib de Classe de Custo'!C10*'7Consumo Área - CALC'!C42</f>
        <v>1206954.52662478</v>
      </c>
      <c r="E18" s="67" t="n">
        <f aca="false">'14Distrib de Classe de Custo'!D10*'7Consumo Área - CALC'!D42</f>
        <v>1267253.93778671</v>
      </c>
      <c r="F18" s="67" t="n">
        <f aca="false">'14Distrib de Classe de Custo'!E10*'7Consumo Área - CALC'!E42</f>
        <v>1216021.45705724</v>
      </c>
      <c r="G18" s="67" t="n">
        <f aca="false">'14Distrib de Classe de Custo'!F10*'7Consumo Área - CALC'!F42</f>
        <v>1213156.1986507</v>
      </c>
      <c r="H18" s="67" t="n">
        <f aca="false">'14Distrib de Classe de Custo'!G10*'7Consumo Área - CALC'!G42</f>
        <v>1209160.18769812</v>
      </c>
      <c r="I18" s="67" t="n">
        <f aca="false">'14Distrib de Classe de Custo'!H10*'7Consumo Área - CALC'!H42</f>
        <v>1244706.50134167</v>
      </c>
      <c r="J18" s="67" t="n">
        <f aca="false">'14Distrib de Classe de Custo'!I10*'7Consumo Área - CALC'!I42</f>
        <v>1363810.75816626</v>
      </c>
      <c r="K18" s="67" t="n">
        <f aca="false">'14Distrib de Classe de Custo'!J10*'7Consumo Área - CALC'!J42</f>
        <v>1377104.64533622</v>
      </c>
      <c r="L18" s="67" t="n">
        <f aca="false">'14Distrib de Classe de Custo'!K10*'7Consumo Área - CALC'!K42</f>
        <v>1375250.07021116</v>
      </c>
      <c r="M18" s="67" t="n">
        <f aca="false">'14Distrib de Classe de Custo'!L10*'7Consumo Área - CALC'!L42</f>
        <v>1351373.28087309</v>
      </c>
      <c r="N18" s="67" t="n">
        <f aca="false">'14Distrib de Classe de Custo'!M10*'7Consumo Área - CALC'!M42</f>
        <v>1293034.68551946</v>
      </c>
      <c r="O18" s="67" t="n">
        <f aca="false">'14Distrib de Classe de Custo'!N10*'7Consumo Área - CALC'!N42</f>
        <v>1217209.90159969</v>
      </c>
    </row>
    <row r="19" customFormat="false" ht="15.75" hidden="false" customHeight="true" outlineLevel="0" collapsed="false">
      <c r="A19" s="134" t="s">
        <v>217</v>
      </c>
      <c r="B19" s="102" t="n">
        <v>50610002</v>
      </c>
      <c r="C19" s="102" t="s">
        <v>139</v>
      </c>
      <c r="D19" s="67" t="n">
        <f aca="false">'14Distrib de Classe de Custo'!C12*'7Consumo Área - CALC'!C43</f>
        <v>25251.993268145</v>
      </c>
      <c r="E19" s="67" t="n">
        <f aca="false">'14Distrib de Classe de Custo'!D12*'7Consumo Área - CALC'!D43</f>
        <v>24159.7375349678</v>
      </c>
      <c r="F19" s="67" t="n">
        <f aca="false">'14Distrib de Classe de Custo'!E12*'7Consumo Área - CALC'!E43</f>
        <v>25371.1831627137</v>
      </c>
      <c r="G19" s="67" t="n">
        <f aca="false">'14Distrib de Classe de Custo'!F12*'7Consumo Área - CALC'!F43</f>
        <v>24739.5640753968</v>
      </c>
      <c r="H19" s="67" t="n">
        <f aca="false">'14Distrib de Classe de Custo'!G12*'7Consumo Área - CALC'!G43</f>
        <v>22998.6927228725</v>
      </c>
      <c r="I19" s="67" t="n">
        <f aca="false">'14Distrib de Classe de Custo'!H12*'7Consumo Área - CALC'!H43</f>
        <v>28585.3221800409</v>
      </c>
      <c r="J19" s="67" t="n">
        <f aca="false">'14Distrib de Classe de Custo'!I12*'7Consumo Área - CALC'!I43</f>
        <v>29412.9053185134</v>
      </c>
      <c r="K19" s="67" t="n">
        <f aca="false">'14Distrib de Classe de Custo'!J12*'7Consumo Área - CALC'!J43</f>
        <v>30433.5864539168</v>
      </c>
      <c r="L19" s="67" t="n">
        <f aca="false">'14Distrib de Classe de Custo'!K12*'7Consumo Área - CALC'!K43</f>
        <v>30377.6070400302</v>
      </c>
      <c r="M19" s="67" t="n">
        <f aca="false">'14Distrib de Classe de Custo'!L12*'7Consumo Área - CALC'!L43</f>
        <v>29854.2131658396</v>
      </c>
      <c r="N19" s="67" t="n">
        <f aca="false">'14Distrib de Classe de Custo'!M12*'7Consumo Área - CALC'!M43</f>
        <v>28146.8764364974</v>
      </c>
      <c r="O19" s="67" t="n">
        <f aca="false">'14Distrib de Classe de Custo'!N12*'7Consumo Área - CALC'!N43</f>
        <v>27042.1885487253</v>
      </c>
    </row>
    <row r="20" customFormat="false" ht="15.75" hidden="false" customHeight="false" outlineLevel="0" collapsed="false">
      <c r="A20" s="134"/>
      <c r="B20" s="102" t="n">
        <v>50610003</v>
      </c>
      <c r="C20" s="102" t="s">
        <v>210</v>
      </c>
      <c r="D20" s="67" t="n">
        <f aca="false">'14Distrib de Classe de Custo'!C7*'7Consumo Área - CALC'!C43</f>
        <v>6359.50239819899</v>
      </c>
      <c r="E20" s="67" t="n">
        <f aca="false">'14Distrib de Classe de Custo'!D7*'7Consumo Área - CALC'!D43</f>
        <v>5806.50218965995</v>
      </c>
      <c r="F20" s="67" t="n">
        <f aca="false">'14Distrib de Classe de Custo'!E7*'7Consumo Área - CALC'!E43</f>
        <v>6359.50239819899</v>
      </c>
      <c r="G20" s="67" t="n">
        <f aca="false">'14Distrib de Classe de Custo'!F7*'7Consumo Área - CALC'!F43</f>
        <v>6221.25234606423</v>
      </c>
      <c r="H20" s="67" t="n">
        <f aca="false">'14Distrib de Classe de Custo'!G7*'7Consumo Área - CALC'!G43</f>
        <v>5806.50218965995</v>
      </c>
      <c r="I20" s="67" t="n">
        <f aca="false">'14Distrib de Classe de Custo'!H7*'7Consumo Área - CALC'!H43</f>
        <v>6359.50239819899</v>
      </c>
      <c r="J20" s="67" t="n">
        <f aca="false">'14Distrib de Classe de Custo'!I7*'7Consumo Área - CALC'!I43</f>
        <v>7381.51257096088</v>
      </c>
      <c r="K20" s="67" t="n">
        <f aca="false">'14Distrib de Classe de Custo'!J7*'7Consumo Área - CALC'!J43</f>
        <v>7545.5461836489</v>
      </c>
      <c r="L20" s="67" t="n">
        <f aca="false">'14Distrib de Classe de Custo'!K7*'7Consumo Área - CALC'!K43</f>
        <v>7545.5461836489</v>
      </c>
      <c r="M20" s="67" t="n">
        <f aca="false">'14Distrib de Classe de Custo'!L7*'7Consumo Área - CALC'!L43</f>
        <v>7545.5461836489</v>
      </c>
      <c r="N20" s="67" t="n">
        <f aca="false">'14Distrib de Classe de Custo'!M7*'7Consumo Área - CALC'!M43</f>
        <v>7381.51257096088</v>
      </c>
      <c r="O20" s="67" t="n">
        <f aca="false">'14Distrib de Classe de Custo'!N7*'7Consumo Área - CALC'!N43</f>
        <v>7545.5461836489</v>
      </c>
    </row>
    <row r="21" customFormat="false" ht="15.75" hidden="false" customHeight="false" outlineLevel="0" collapsed="false">
      <c r="A21" s="134"/>
      <c r="B21" s="102" t="s">
        <v>211</v>
      </c>
      <c r="C21" s="102" t="s">
        <v>212</v>
      </c>
      <c r="D21" s="67" t="n">
        <f aca="false">'14Distrib de Classe de Custo'!C10*'7Consumo Área - CALC'!C43</f>
        <v>9951.14783547705</v>
      </c>
      <c r="E21" s="67" t="n">
        <f aca="false">'14Distrib de Classe de Custo'!D10*'7Consumo Área - CALC'!D43</f>
        <v>9539.7584523426</v>
      </c>
      <c r="F21" s="67" t="n">
        <f aca="false">'14Distrib de Classe de Custo'!E10*'7Consumo Área - CALC'!E43</f>
        <v>10025.9032327658</v>
      </c>
      <c r="G21" s="67" t="n">
        <f aca="false">'14Distrib de Classe de Custo'!F10*'7Consumo Área - CALC'!F43</f>
        <v>9784.83877196598</v>
      </c>
      <c r="H21" s="67" t="n">
        <f aca="false">'14Distrib de Classe de Custo'!G10*'7Consumo Área - CALC'!G43</f>
        <v>9102.43462409413</v>
      </c>
      <c r="I21" s="67" t="n">
        <f aca="false">'14Distrib de Classe de Custo'!H10*'7Consumo Área - CALC'!H43</f>
        <v>10262.4068541076</v>
      </c>
      <c r="J21" s="67" t="n">
        <f aca="false">'14Distrib de Classe de Custo'!I10*'7Consumo Área - CALC'!I43</f>
        <v>10999.9589492036</v>
      </c>
      <c r="K21" s="67" t="n">
        <f aca="false">'14Distrib de Classe de Custo'!J10*'7Consumo Área - CALC'!J43</f>
        <v>11354.0084637531</v>
      </c>
      <c r="L21" s="67" t="n">
        <f aca="false">'14Distrib de Classe de Custo'!K10*'7Consumo Área - CALC'!K43</f>
        <v>11338.7177872326</v>
      </c>
      <c r="M21" s="67" t="n">
        <f aca="false">'14Distrib de Classe de Custo'!L10*'7Consumo Área - CALC'!L43</f>
        <v>11141.8574620934</v>
      </c>
      <c r="N21" s="67" t="n">
        <f aca="false">'14Distrib de Classe de Custo'!M10*'7Consumo Área - CALC'!M43</f>
        <v>10429.1070996791</v>
      </c>
      <c r="O21" s="67" t="n">
        <f aca="false">'14Distrib de Classe de Custo'!N10*'7Consumo Área - CALC'!N43</f>
        <v>10035.70176873</v>
      </c>
    </row>
    <row r="22" customFormat="false" ht="15.75" hidden="false" customHeight="true" outlineLevel="0" collapsed="false">
      <c r="A22" s="134" t="s">
        <v>218</v>
      </c>
      <c r="B22" s="102" t="n">
        <v>50610002</v>
      </c>
      <c r="C22" s="102" t="s">
        <v>139</v>
      </c>
      <c r="D22" s="67" t="n">
        <f aca="false">'14Distrib de Classe de Custo'!C12*'7Consumo Área - CALC'!C44</f>
        <v>0</v>
      </c>
      <c r="E22" s="67" t="n">
        <f aca="false">'14Distrib de Classe de Custo'!D12*'7Consumo Área - CALC'!D44</f>
        <v>0</v>
      </c>
      <c r="F22" s="67" t="n">
        <f aca="false">'14Distrib de Classe de Custo'!E12*'7Consumo Área - CALC'!E44</f>
        <v>0</v>
      </c>
      <c r="G22" s="67" t="n">
        <f aca="false">'14Distrib de Classe de Custo'!F12*'7Consumo Área - CALC'!F44</f>
        <v>0</v>
      </c>
      <c r="H22" s="67" t="n">
        <f aca="false">'14Distrib de Classe de Custo'!G12*'7Consumo Área - CALC'!G44</f>
        <v>0</v>
      </c>
      <c r="I22" s="67" t="n">
        <f aca="false">'14Distrib de Classe de Custo'!H12*'7Consumo Área - CALC'!H44</f>
        <v>0</v>
      </c>
      <c r="J22" s="67" t="n">
        <f aca="false">'14Distrib de Classe de Custo'!I12*'7Consumo Área - CALC'!I44</f>
        <v>0</v>
      </c>
      <c r="K22" s="67" t="n">
        <f aca="false">'14Distrib de Classe de Custo'!J12*'7Consumo Área - CALC'!J44</f>
        <v>0</v>
      </c>
      <c r="L22" s="67" t="n">
        <f aca="false">'14Distrib de Classe de Custo'!K12*'7Consumo Área - CALC'!K44</f>
        <v>0</v>
      </c>
      <c r="M22" s="67" t="n">
        <f aca="false">'14Distrib de Classe de Custo'!L12*'7Consumo Área - CALC'!L44</f>
        <v>0</v>
      </c>
      <c r="N22" s="67" t="n">
        <f aca="false">'14Distrib de Classe de Custo'!M12*'7Consumo Área - CALC'!M44</f>
        <v>0</v>
      </c>
      <c r="O22" s="67" t="n">
        <f aca="false">'14Distrib de Classe de Custo'!N12*'7Consumo Área - CALC'!N44</f>
        <v>0</v>
      </c>
    </row>
    <row r="23" customFormat="false" ht="15.75" hidden="false" customHeight="false" outlineLevel="0" collapsed="false">
      <c r="A23" s="134"/>
      <c r="B23" s="102" t="n">
        <v>50610003</v>
      </c>
      <c r="C23" s="102" t="s">
        <v>210</v>
      </c>
      <c r="D23" s="67" t="n">
        <f aca="false">'14Distrib de Classe de Custo'!C7*'7Consumo Área - CALC'!C44</f>
        <v>0</v>
      </c>
      <c r="E23" s="67" t="n">
        <f aca="false">'14Distrib de Classe de Custo'!D7*'7Consumo Área - CALC'!D44</f>
        <v>0</v>
      </c>
      <c r="F23" s="67" t="n">
        <f aca="false">'14Distrib de Classe de Custo'!E7*'7Consumo Área - CALC'!E44</f>
        <v>0</v>
      </c>
      <c r="G23" s="67" t="n">
        <f aca="false">'14Distrib de Classe de Custo'!F7*'7Consumo Área - CALC'!F44</f>
        <v>0</v>
      </c>
      <c r="H23" s="67" t="n">
        <f aca="false">'14Distrib de Classe de Custo'!G7*'7Consumo Área - CALC'!G44</f>
        <v>0</v>
      </c>
      <c r="I23" s="67" t="n">
        <f aca="false">'14Distrib de Classe de Custo'!H7*'7Consumo Área - CALC'!H44</f>
        <v>0</v>
      </c>
      <c r="J23" s="67" t="n">
        <f aca="false">'14Distrib de Classe de Custo'!I7*'7Consumo Área - CALC'!I44</f>
        <v>0</v>
      </c>
      <c r="K23" s="67" t="n">
        <f aca="false">'14Distrib de Classe de Custo'!J7*'7Consumo Área - CALC'!J44</f>
        <v>0</v>
      </c>
      <c r="L23" s="67" t="n">
        <f aca="false">'14Distrib de Classe de Custo'!K7*'7Consumo Área - CALC'!K44</f>
        <v>0</v>
      </c>
      <c r="M23" s="67" t="n">
        <f aca="false">'14Distrib de Classe de Custo'!L7*'7Consumo Área - CALC'!L44</f>
        <v>0</v>
      </c>
      <c r="N23" s="67" t="n">
        <f aca="false">'14Distrib de Classe de Custo'!M7*'7Consumo Área - CALC'!M44</f>
        <v>0</v>
      </c>
      <c r="O23" s="67" t="n">
        <f aca="false">'14Distrib de Classe de Custo'!N7*'7Consumo Área - CALC'!N44</f>
        <v>0</v>
      </c>
    </row>
    <row r="24" customFormat="false" ht="15.75" hidden="false" customHeight="false" outlineLevel="0" collapsed="false">
      <c r="A24" s="134"/>
      <c r="B24" s="102" t="s">
        <v>211</v>
      </c>
      <c r="C24" s="102" t="s">
        <v>212</v>
      </c>
      <c r="D24" s="67" t="n">
        <f aca="false">'14Distrib de Classe de Custo'!C10*'7Consumo Área - CALC'!C44</f>
        <v>0</v>
      </c>
      <c r="E24" s="67" t="n">
        <f aca="false">'14Distrib de Classe de Custo'!D10*'7Consumo Área - CALC'!D44</f>
        <v>0</v>
      </c>
      <c r="F24" s="67" t="n">
        <f aca="false">'14Distrib de Classe de Custo'!E10*'7Consumo Área - CALC'!E44</f>
        <v>0</v>
      </c>
      <c r="G24" s="67" t="n">
        <f aca="false">'14Distrib de Classe de Custo'!F10*'7Consumo Área - CALC'!F44</f>
        <v>0</v>
      </c>
      <c r="H24" s="67" t="n">
        <f aca="false">'14Distrib de Classe de Custo'!G10*'7Consumo Área - CALC'!G44</f>
        <v>0</v>
      </c>
      <c r="I24" s="67" t="n">
        <f aca="false">'14Distrib de Classe de Custo'!H10*'7Consumo Área - CALC'!H44</f>
        <v>0</v>
      </c>
      <c r="J24" s="67" t="n">
        <f aca="false">'14Distrib de Classe de Custo'!I10*'7Consumo Área - CALC'!I44</f>
        <v>0</v>
      </c>
      <c r="K24" s="67" t="n">
        <f aca="false">'14Distrib de Classe de Custo'!J10*'7Consumo Área - CALC'!J44</f>
        <v>0</v>
      </c>
      <c r="L24" s="67" t="n">
        <f aca="false">'14Distrib de Classe de Custo'!K10*'7Consumo Área - CALC'!K44</f>
        <v>0</v>
      </c>
      <c r="M24" s="67" t="n">
        <f aca="false">'14Distrib de Classe de Custo'!L10*'7Consumo Área - CALC'!L44</f>
        <v>0</v>
      </c>
      <c r="N24" s="67" t="n">
        <f aca="false">'14Distrib de Classe de Custo'!M10*'7Consumo Área - CALC'!M44</f>
        <v>0</v>
      </c>
      <c r="O24" s="67" t="n">
        <f aca="false">'14Distrib de Classe de Custo'!N10*'7Consumo Área - CALC'!N44</f>
        <v>0</v>
      </c>
    </row>
    <row r="25" customFormat="false" ht="15.75" hidden="false" customHeight="true" outlineLevel="0" collapsed="false">
      <c r="A25" s="134" t="s">
        <v>219</v>
      </c>
      <c r="B25" s="102" t="n">
        <v>50610002</v>
      </c>
      <c r="C25" s="102" t="s">
        <v>139</v>
      </c>
      <c r="D25" s="67" t="n">
        <f aca="false">'14Distrib de Classe de Custo'!C12*'7Consumo Área - CALC'!C45</f>
        <v>983353.882433875</v>
      </c>
      <c r="E25" s="67" t="n">
        <f aca="false">'14Distrib de Classe de Custo'!D12*'7Consumo Área - CALC'!D45</f>
        <v>1017840.64810392</v>
      </c>
      <c r="F25" s="67" t="n">
        <f aca="false">'14Distrib de Classe de Custo'!E12*'7Consumo Área - CALC'!E45</f>
        <v>1048129.8930951</v>
      </c>
      <c r="G25" s="67" t="n">
        <f aca="false">'14Distrib de Classe de Custo'!F12*'7Consumo Área - CALC'!F45</f>
        <v>1072192.56042597</v>
      </c>
      <c r="H25" s="67" t="n">
        <f aca="false">'14Distrib de Classe de Custo'!G12*'7Consumo Área - CALC'!G45</f>
        <v>1092122.3454744</v>
      </c>
      <c r="I25" s="67" t="n">
        <f aca="false">'14Distrib de Classe de Custo'!H12*'7Consumo Área - CALC'!H45</f>
        <v>1271768.18631212</v>
      </c>
      <c r="J25" s="67" t="n">
        <f aca="false">'14Distrib de Classe de Custo'!I12*'7Consumo Área - CALC'!I45</f>
        <v>1364217.87585678</v>
      </c>
      <c r="K25" s="67" t="n">
        <f aca="false">'14Distrib de Classe de Custo'!J12*'7Consumo Área - CALC'!J45</f>
        <v>1323679.74532653</v>
      </c>
      <c r="L25" s="67" t="n">
        <f aca="false">'14Distrib de Classe de Custo'!K12*'7Consumo Área - CALC'!K45</f>
        <v>1330482.80883778</v>
      </c>
      <c r="M25" s="67" t="n">
        <f aca="false">'14Distrib de Classe de Custo'!L12*'7Consumo Área - CALC'!L45</f>
        <v>1311216.72228426</v>
      </c>
      <c r="N25" s="67" t="n">
        <f aca="false">'14Distrib de Classe de Custo'!M12*'7Consumo Área - CALC'!M45</f>
        <v>1125755.38873667</v>
      </c>
      <c r="O25" s="67" t="n">
        <f aca="false">'14Distrib de Classe de Custo'!N12*'7Consumo Área - CALC'!N45</f>
        <v>1108049.69827537</v>
      </c>
    </row>
    <row r="26" customFormat="false" ht="15.75" hidden="false" customHeight="false" outlineLevel="0" collapsed="false">
      <c r="A26" s="134"/>
      <c r="B26" s="102" t="n">
        <v>50610003</v>
      </c>
      <c r="C26" s="102" t="s">
        <v>210</v>
      </c>
      <c r="D26" s="67" t="n">
        <f aca="false">'14Distrib de Classe de Custo'!C7*'7Consumo Área - CALC'!C45</f>
        <v>247649.415521799</v>
      </c>
      <c r="E26" s="67" t="n">
        <f aca="false">'14Distrib de Classe de Custo'!D7*'7Consumo Área - CALC'!D45</f>
        <v>244625.751558198</v>
      </c>
      <c r="F26" s="67" t="n">
        <f aca="false">'14Distrib de Classe de Custo'!E7*'7Consumo Área - CALC'!E45</f>
        <v>262722.653729382</v>
      </c>
      <c r="G26" s="67" t="n">
        <f aca="false">'14Distrib de Classe de Custo'!F7*'7Consumo Área - CALC'!F45</f>
        <v>269624.010417237</v>
      </c>
      <c r="H26" s="67" t="n">
        <f aca="false">'14Distrib de Classe de Custo'!G7*'7Consumo Área - CALC'!G45</f>
        <v>275729.184557827</v>
      </c>
      <c r="I26" s="67" t="n">
        <f aca="false">'14Distrib de Classe de Custo'!H7*'7Consumo Área - CALC'!H45</f>
        <v>282935.864072654</v>
      </c>
      <c r="J26" s="67" t="n">
        <f aca="false">'14Distrib de Classe de Custo'!I7*'7Consumo Área - CALC'!I45</f>
        <v>342366.430351512</v>
      </c>
      <c r="K26" s="67" t="n">
        <f aca="false">'14Distrib de Classe de Custo'!J7*'7Consumo Área - CALC'!J45</f>
        <v>328186.316977325</v>
      </c>
      <c r="L26" s="67" t="n">
        <f aca="false">'14Distrib de Classe de Custo'!K7*'7Consumo Área - CALC'!K45</f>
        <v>330480.918638757</v>
      </c>
      <c r="M26" s="67" t="n">
        <f aca="false">'14Distrib de Classe de Custo'!L7*'7Consumo Área - CALC'!L45</f>
        <v>331405.362446115</v>
      </c>
      <c r="N26" s="67" t="n">
        <f aca="false">'14Distrib de Classe de Custo'!M7*'7Consumo Área - CALC'!M45</f>
        <v>295229.119740319</v>
      </c>
      <c r="O26" s="67" t="n">
        <f aca="false">'14Distrib de Classe de Custo'!N7*'7Consumo Área - CALC'!N45</f>
        <v>309177.645036025</v>
      </c>
    </row>
    <row r="27" customFormat="false" ht="15.75" hidden="false" customHeight="false" outlineLevel="0" collapsed="false">
      <c r="A27" s="134"/>
      <c r="B27" s="102" t="s">
        <v>211</v>
      </c>
      <c r="C27" s="102" t="s">
        <v>212</v>
      </c>
      <c r="D27" s="67" t="n">
        <f aca="false">'14Distrib de Classe de Custo'!C10*'7Consumo Área - CALC'!C45</f>
        <v>387513.957998478</v>
      </c>
      <c r="E27" s="67" t="n">
        <f aca="false">'14Distrib de Classe de Custo'!D10*'7Consumo Área - CALC'!D45</f>
        <v>401906.432627153</v>
      </c>
      <c r="F27" s="67" t="n">
        <f aca="false">'14Distrib de Classe de Custo'!E10*'7Consumo Área - CALC'!E45</f>
        <v>414188.365443841</v>
      </c>
      <c r="G27" s="67" t="n">
        <f aca="false">'14Distrib de Classe de Custo'!F10*'7Consumo Área - CALC'!F45</f>
        <v>424066.944118184</v>
      </c>
      <c r="H27" s="67" t="n">
        <f aca="false">'14Distrib de Classe de Custo'!G10*'7Consumo Área - CALC'!G45</f>
        <v>432240.752593153</v>
      </c>
      <c r="I27" s="67" t="n">
        <f aca="false">'14Distrib de Classe de Custo'!H10*'7Consumo Área - CALC'!H45</f>
        <v>456577.066714271</v>
      </c>
      <c r="J27" s="67" t="n">
        <f aca="false">'14Distrib de Classe de Custo'!I10*'7Consumo Área - CALC'!I45</f>
        <v>510195.795678467</v>
      </c>
      <c r="K27" s="67" t="n">
        <f aca="false">'14Distrib de Classe de Custo'!J10*'7Consumo Área - CALC'!J45</f>
        <v>493831.742587861</v>
      </c>
      <c r="L27" s="67" t="n">
        <f aca="false">'14Distrib de Classe de Custo'!K10*'7Consumo Área - CALC'!K45</f>
        <v>496614.794914443</v>
      </c>
      <c r="M27" s="67" t="n">
        <f aca="false">'14Distrib de Classe de Custo'!L10*'7Consumo Área - CALC'!L45</f>
        <v>489357.724501049</v>
      </c>
      <c r="N27" s="67" t="n">
        <f aca="false">'14Distrib de Classe de Custo'!M10*'7Consumo Área - CALC'!M45</f>
        <v>417119.943794253</v>
      </c>
      <c r="O27" s="67" t="n">
        <f aca="false">'14Distrib de Classe de Custo'!N10*'7Consumo Área - CALC'!N45</f>
        <v>411211.40386942</v>
      </c>
    </row>
    <row r="28" customFormat="false" ht="15.75" hidden="false" customHeight="false" outlineLevel="0" collapsed="false">
      <c r="A28" s="55" t="s">
        <v>220</v>
      </c>
      <c r="B28" s="55"/>
      <c r="C28" s="55"/>
      <c r="D28" s="55"/>
      <c r="E28" s="55"/>
      <c r="F28" s="55"/>
      <c r="G28" s="55"/>
      <c r="H28" s="55"/>
      <c r="I28" s="55"/>
      <c r="J28" s="55"/>
      <c r="K28" s="55"/>
      <c r="L28" s="55"/>
      <c r="M28" s="55"/>
      <c r="N28" s="55"/>
      <c r="O28" s="55"/>
    </row>
    <row r="29" customFormat="false" ht="15.75" hidden="false" customHeight="true" outlineLevel="0" collapsed="false">
      <c r="A29" s="134" t="s">
        <v>221</v>
      </c>
      <c r="B29" s="102" t="n">
        <v>50610002</v>
      </c>
      <c r="C29" s="102" t="s">
        <v>139</v>
      </c>
      <c r="D29" s="67" t="n">
        <f aca="false">'14Distrib de Classe de Custo'!C21*'7Consumo Área - CALC'!C46</f>
        <v>0</v>
      </c>
      <c r="E29" s="67" t="n">
        <f aca="false">'14Distrib de Classe de Custo'!D21*'7Consumo Área - CALC'!D46</f>
        <v>0</v>
      </c>
      <c r="F29" s="67" t="n">
        <f aca="false">'14Distrib de Classe de Custo'!E21*'7Consumo Área - CALC'!E46</f>
        <v>0</v>
      </c>
      <c r="G29" s="67" t="n">
        <f aca="false">'14Distrib de Classe de Custo'!F21*'7Consumo Área - CALC'!F46</f>
        <v>0</v>
      </c>
      <c r="H29" s="67" t="n">
        <f aca="false">'14Distrib de Classe de Custo'!G21*'7Consumo Área - CALC'!G46</f>
        <v>0</v>
      </c>
      <c r="I29" s="67" t="n">
        <f aca="false">'14Distrib de Classe de Custo'!H21*'7Consumo Área - CALC'!H46</f>
        <v>0</v>
      </c>
      <c r="J29" s="67" t="n">
        <f aca="false">'14Distrib de Classe de Custo'!I21*'7Consumo Área - CALC'!I46</f>
        <v>0</v>
      </c>
      <c r="K29" s="67" t="n">
        <f aca="false">'14Distrib de Classe de Custo'!J21*'7Consumo Área - CALC'!J46</f>
        <v>0</v>
      </c>
      <c r="L29" s="67" t="n">
        <f aca="false">'14Distrib de Classe de Custo'!K21*'7Consumo Área - CALC'!K46</f>
        <v>0</v>
      </c>
      <c r="M29" s="67" t="n">
        <f aca="false">'14Distrib de Classe de Custo'!L21*'7Consumo Área - CALC'!L46</f>
        <v>0</v>
      </c>
      <c r="N29" s="67" t="n">
        <f aca="false">'14Distrib de Classe de Custo'!M21*'7Consumo Área - CALC'!M46</f>
        <v>0</v>
      </c>
      <c r="O29" s="67" t="n">
        <f aca="false">'14Distrib de Classe de Custo'!N21*'7Consumo Área - CALC'!N46</f>
        <v>0</v>
      </c>
    </row>
    <row r="30" customFormat="false" ht="15.75" hidden="false" customHeight="false" outlineLevel="0" collapsed="false">
      <c r="A30" s="134"/>
      <c r="B30" s="102" t="n">
        <v>50610003</v>
      </c>
      <c r="C30" s="102" t="s">
        <v>210</v>
      </c>
      <c r="D30" s="67" t="n">
        <f aca="false">'14Distrib de Classe de Custo'!C17*'7Consumo Área - CALC'!C46</f>
        <v>0</v>
      </c>
      <c r="E30" s="67" t="n">
        <f aca="false">'14Distrib de Classe de Custo'!D17*'7Consumo Área - CALC'!D46</f>
        <v>0</v>
      </c>
      <c r="F30" s="67" t="n">
        <f aca="false">'14Distrib de Classe de Custo'!E17*'7Consumo Área - CALC'!E46</f>
        <v>0</v>
      </c>
      <c r="G30" s="67" t="n">
        <f aca="false">'14Distrib de Classe de Custo'!F17*'7Consumo Área - CALC'!F46</f>
        <v>0</v>
      </c>
      <c r="H30" s="67" t="n">
        <f aca="false">'14Distrib de Classe de Custo'!G17*'7Consumo Área - CALC'!G46</f>
        <v>0</v>
      </c>
      <c r="I30" s="67" t="n">
        <f aca="false">'14Distrib de Classe de Custo'!H17*'7Consumo Área - CALC'!H46</f>
        <v>0</v>
      </c>
      <c r="J30" s="67" t="n">
        <f aca="false">'14Distrib de Classe de Custo'!I17*'7Consumo Área - CALC'!I46</f>
        <v>0</v>
      </c>
      <c r="K30" s="67" t="n">
        <f aca="false">'14Distrib de Classe de Custo'!J17*'7Consumo Área - CALC'!J46</f>
        <v>0</v>
      </c>
      <c r="L30" s="67" t="n">
        <f aca="false">'14Distrib de Classe de Custo'!K17*'7Consumo Área - CALC'!K46</f>
        <v>0</v>
      </c>
      <c r="M30" s="67" t="n">
        <f aca="false">'14Distrib de Classe de Custo'!L17*'7Consumo Área - CALC'!L46</f>
        <v>0</v>
      </c>
      <c r="N30" s="67" t="n">
        <f aca="false">'14Distrib de Classe de Custo'!M17*'7Consumo Área - CALC'!M46</f>
        <v>0</v>
      </c>
      <c r="O30" s="67" t="n">
        <f aca="false">'14Distrib de Classe de Custo'!N17*'7Consumo Área - CALC'!N46</f>
        <v>0</v>
      </c>
    </row>
    <row r="31" customFormat="false" ht="15.75" hidden="false" customHeight="false" outlineLevel="0" collapsed="false">
      <c r="A31" s="134"/>
      <c r="B31" s="102" t="s">
        <v>211</v>
      </c>
      <c r="C31" s="102" t="s">
        <v>212</v>
      </c>
      <c r="D31" s="67" t="n">
        <f aca="false">'14Distrib de Classe de Custo'!C19*'7Consumo Área - CALC'!C46</f>
        <v>0</v>
      </c>
      <c r="E31" s="67" t="n">
        <f aca="false">'14Distrib de Classe de Custo'!D19*'7Consumo Área - CALC'!D46</f>
        <v>0</v>
      </c>
      <c r="F31" s="67" t="n">
        <f aca="false">'14Distrib de Classe de Custo'!E19*'7Consumo Área - CALC'!E46</f>
        <v>0</v>
      </c>
      <c r="G31" s="67" t="n">
        <f aca="false">'14Distrib de Classe de Custo'!F19*'7Consumo Área - CALC'!F46</f>
        <v>0</v>
      </c>
      <c r="H31" s="67" t="n">
        <f aca="false">'14Distrib de Classe de Custo'!G19*'7Consumo Área - CALC'!G46</f>
        <v>0</v>
      </c>
      <c r="I31" s="67" t="n">
        <f aca="false">'14Distrib de Classe de Custo'!H19*'7Consumo Área - CALC'!H46</f>
        <v>0</v>
      </c>
      <c r="J31" s="67" t="n">
        <f aca="false">'14Distrib de Classe de Custo'!I19*'7Consumo Área - CALC'!I46</f>
        <v>0</v>
      </c>
      <c r="K31" s="67" t="n">
        <f aca="false">'14Distrib de Classe de Custo'!J19*'7Consumo Área - CALC'!J46</f>
        <v>0</v>
      </c>
      <c r="L31" s="67" t="n">
        <f aca="false">'14Distrib de Classe de Custo'!K19*'7Consumo Área - CALC'!K46</f>
        <v>0</v>
      </c>
      <c r="M31" s="67" t="n">
        <f aca="false">'14Distrib de Classe de Custo'!L19*'7Consumo Área - CALC'!L46</f>
        <v>0</v>
      </c>
      <c r="N31" s="67" t="n">
        <f aca="false">'14Distrib de Classe de Custo'!M19*'7Consumo Área - CALC'!M46</f>
        <v>0</v>
      </c>
      <c r="O31" s="67" t="n">
        <f aca="false">'14Distrib de Classe de Custo'!N19*'7Consumo Área - CALC'!N46</f>
        <v>0</v>
      </c>
    </row>
    <row r="32" customFormat="false" ht="15.75" hidden="false" customHeight="true" outlineLevel="0" collapsed="false">
      <c r="A32" s="134" t="s">
        <v>222</v>
      </c>
      <c r="B32" s="102" t="n">
        <v>50610002</v>
      </c>
      <c r="C32" s="102" t="s">
        <v>139</v>
      </c>
      <c r="D32" s="67" t="n">
        <f aca="false">'14Distrib de Classe de Custo'!C21*'7Consumo Área - CALC'!C47</f>
        <v>1616041.77962385</v>
      </c>
      <c r="E32" s="67" t="n">
        <f aca="false">'14Distrib de Classe de Custo'!D21*'7Consumo Área - CALC'!D47</f>
        <v>1552732.78213904</v>
      </c>
      <c r="F32" s="67" t="n">
        <f aca="false">'14Distrib de Classe de Custo'!E21*'7Consumo Área - CALC'!E47</f>
        <v>1634923.79637834</v>
      </c>
      <c r="G32" s="67" t="n">
        <f aca="false">'14Distrib de Classe de Custo'!F21*'7Consumo Área - CALC'!F47</f>
        <v>2216193.24614893</v>
      </c>
      <c r="H32" s="67" t="n">
        <f aca="false">'14Distrib de Classe de Custo'!G21*'7Consumo Área - CALC'!G47</f>
        <v>2298346.59159533</v>
      </c>
      <c r="I32" s="67" t="n">
        <f aca="false">'14Distrib de Classe de Custo'!H21*'7Consumo Área - CALC'!H47</f>
        <v>2559882.14669219</v>
      </c>
      <c r="J32" s="67" t="n">
        <f aca="false">'14Distrib de Classe de Custo'!I21*'7Consumo Área - CALC'!I47</f>
        <v>2765421.57699075</v>
      </c>
      <c r="K32" s="67" t="n">
        <f aca="false">'14Distrib de Classe de Custo'!J21*'7Consumo Área - CALC'!J47</f>
        <v>2431173.01366974</v>
      </c>
      <c r="L32" s="67" t="n">
        <f aca="false">'14Distrib de Classe de Custo'!K21*'7Consumo Área - CALC'!K47</f>
        <v>2597099.66117534</v>
      </c>
      <c r="M32" s="67" t="n">
        <f aca="false">'14Distrib de Classe de Custo'!L21*'7Consumo Área - CALC'!L47</f>
        <v>2536785.94492044</v>
      </c>
      <c r="N32" s="67" t="n">
        <f aca="false">'14Distrib de Classe de Custo'!M21*'7Consumo Área - CALC'!M47</f>
        <v>1714218.18217044</v>
      </c>
      <c r="O32" s="67" t="n">
        <f aca="false">'14Distrib de Classe de Custo'!N21*'7Consumo Área - CALC'!N47</f>
        <v>1798887.29415997</v>
      </c>
    </row>
    <row r="33" customFormat="false" ht="15.75" hidden="false" customHeight="false" outlineLevel="0" collapsed="false">
      <c r="A33" s="134"/>
      <c r="B33" s="102" t="n">
        <v>50610003</v>
      </c>
      <c r="C33" s="102" t="s">
        <v>210</v>
      </c>
      <c r="D33" s="67" t="n">
        <f aca="false">'14Distrib de Classe de Custo'!C17*'7Consumo Área - CALC'!C47</f>
        <v>721515.710213809</v>
      </c>
      <c r="E33" s="67" t="n">
        <f aca="false">'14Distrib de Classe de Custo'!D17*'7Consumo Área - CALC'!D47</f>
        <v>704061.194741992</v>
      </c>
      <c r="F33" s="67" t="n">
        <f aca="false">'14Distrib de Classe de Custo'!E17*'7Consumo Área - CALC'!E47</f>
        <v>719505.072901896</v>
      </c>
      <c r="G33" s="67" t="n">
        <f aca="false">'14Distrib de Classe de Custo'!F17*'7Consumo Área - CALC'!F47</f>
        <v>785537.728635441</v>
      </c>
      <c r="H33" s="67" t="n">
        <f aca="false">'14Distrib de Classe de Custo'!G17*'7Consumo Área - CALC'!G47</f>
        <v>808687.415689704</v>
      </c>
      <c r="I33" s="67" t="n">
        <f aca="false">'14Distrib de Classe de Custo'!H17*'7Consumo Área - CALC'!H47</f>
        <v>813762.011931454</v>
      </c>
      <c r="J33" s="67" t="n">
        <f aca="false">'14Distrib de Classe de Custo'!I17*'7Consumo Área - CALC'!I47</f>
        <v>934533.10202411</v>
      </c>
      <c r="K33" s="67" t="n">
        <f aca="false">'14Distrib de Classe de Custo'!J17*'7Consumo Área - CALC'!J47</f>
        <v>791953.517096034</v>
      </c>
      <c r="L33" s="67" t="n">
        <f aca="false">'14Distrib de Classe de Custo'!K17*'7Consumo Área - CALC'!K47</f>
        <v>805974.613414929</v>
      </c>
      <c r="M33" s="67" t="n">
        <f aca="false">'14Distrib de Classe de Custo'!L17*'7Consumo Área - CALC'!L47</f>
        <v>799721.465510763</v>
      </c>
      <c r="N33" s="67" t="n">
        <f aca="false">'14Distrib de Classe de Custo'!M17*'7Consumo Área - CALC'!M47</f>
        <v>716193.227920978</v>
      </c>
      <c r="O33" s="67" t="n">
        <f aca="false">'14Distrib de Classe de Custo'!N17*'7Consumo Área - CALC'!N47</f>
        <v>746083.278696432</v>
      </c>
    </row>
    <row r="34" customFormat="false" ht="15.75" hidden="false" customHeight="false" outlineLevel="0" collapsed="false">
      <c r="A34" s="134"/>
      <c r="B34" s="102" t="s">
        <v>211</v>
      </c>
      <c r="C34" s="102" t="s">
        <v>212</v>
      </c>
      <c r="D34" s="67" t="n">
        <f aca="false">'14Distrib de Classe de Custo'!C19*'7Consumo Área - CALC'!C47</f>
        <v>871630.235651477</v>
      </c>
      <c r="E34" s="67" t="n">
        <f aca="false">'14Distrib de Classe de Custo'!D19*'7Consumo Área - CALC'!D47</f>
        <v>702651.192710572</v>
      </c>
      <c r="F34" s="67" t="n">
        <f aca="false">'14Distrib de Classe de Custo'!E19*'7Consumo Área - CALC'!E47</f>
        <v>721737.95472324</v>
      </c>
      <c r="G34" s="67" t="n">
        <f aca="false">'14Distrib de Classe de Custo'!F19*'7Consumo Área - CALC'!F47</f>
        <v>901994.976471315</v>
      </c>
      <c r="H34" s="67" t="n">
        <f aca="false">'14Distrib de Classe de Custo'!G19*'7Consumo Área - CALC'!G47</f>
        <v>923604.998187661</v>
      </c>
      <c r="I34" s="67" t="n">
        <f aca="false">'14Distrib de Classe de Custo'!H19*'7Consumo Área - CALC'!H47</f>
        <v>1112442.13722168</v>
      </c>
      <c r="J34" s="67" t="n">
        <f aca="false">'14Distrib de Classe de Custo'!I19*'7Consumo Área - CALC'!I47</f>
        <v>1280960.2004067</v>
      </c>
      <c r="K34" s="67" t="n">
        <f aca="false">'14Distrib de Classe de Custo'!J19*'7Consumo Área - CALC'!J47</f>
        <v>1074230.82262168</v>
      </c>
      <c r="L34" s="67" t="n">
        <f aca="false">'14Distrib de Classe de Custo'!K19*'7Consumo Área - CALC'!K47</f>
        <v>1129900.52090999</v>
      </c>
      <c r="M34" s="67" t="n">
        <f aca="false">'14Distrib de Classe de Custo'!L19*'7Consumo Área - CALC'!L47</f>
        <v>1101726.86304386</v>
      </c>
      <c r="N34" s="67" t="n">
        <f aca="false">'14Distrib de Classe de Custo'!M19*'7Consumo Área - CALC'!M47</f>
        <v>806189.06469416</v>
      </c>
      <c r="O34" s="67" t="n">
        <f aca="false">'14Distrib de Classe de Custo'!N19*'7Consumo Área - CALC'!N47</f>
        <v>849732.726882397</v>
      </c>
    </row>
    <row r="35" customFormat="false" ht="15.75" hidden="false" customHeight="true" outlineLevel="0" collapsed="false">
      <c r="A35" s="134" t="s">
        <v>223</v>
      </c>
      <c r="B35" s="102" t="n">
        <v>50610002</v>
      </c>
      <c r="C35" s="102" t="s">
        <v>139</v>
      </c>
      <c r="D35" s="67" t="n">
        <f aca="false">'14Distrib de Classe de Custo'!C21*'7Consumo Área - CALC'!C48</f>
        <v>0</v>
      </c>
      <c r="E35" s="67" t="n">
        <f aca="false">'14Distrib de Classe de Custo'!D21*'7Consumo Área - CALC'!D48</f>
        <v>0</v>
      </c>
      <c r="F35" s="67" t="n">
        <f aca="false">'14Distrib de Classe de Custo'!E21*'7Consumo Área - CALC'!E48</f>
        <v>0</v>
      </c>
      <c r="G35" s="67" t="n">
        <f aca="false">'14Distrib de Classe de Custo'!F21*'7Consumo Área - CALC'!F48</f>
        <v>0</v>
      </c>
      <c r="H35" s="67" t="n">
        <f aca="false">'14Distrib de Classe de Custo'!G21*'7Consumo Área - CALC'!G48</f>
        <v>0</v>
      </c>
      <c r="I35" s="67" t="n">
        <f aca="false">'14Distrib de Classe de Custo'!H21*'7Consumo Área - CALC'!H48</f>
        <v>0</v>
      </c>
      <c r="J35" s="67" t="n">
        <f aca="false">'14Distrib de Classe de Custo'!I21*'7Consumo Área - CALC'!I48</f>
        <v>0</v>
      </c>
      <c r="K35" s="67" t="n">
        <f aca="false">'14Distrib de Classe de Custo'!J21*'7Consumo Área - CALC'!J48</f>
        <v>0</v>
      </c>
      <c r="L35" s="67" t="n">
        <f aca="false">'14Distrib de Classe de Custo'!K21*'7Consumo Área - CALC'!K48</f>
        <v>0</v>
      </c>
      <c r="M35" s="67" t="n">
        <f aca="false">'14Distrib de Classe de Custo'!L21*'7Consumo Área - CALC'!L48</f>
        <v>0</v>
      </c>
      <c r="N35" s="67" t="n">
        <f aca="false">'14Distrib de Classe de Custo'!M21*'7Consumo Área - CALC'!M48</f>
        <v>0</v>
      </c>
      <c r="O35" s="67" t="n">
        <f aca="false">'14Distrib de Classe de Custo'!N21*'7Consumo Área - CALC'!N48</f>
        <v>0</v>
      </c>
    </row>
    <row r="36" customFormat="false" ht="15.75" hidden="false" customHeight="false" outlineLevel="0" collapsed="false">
      <c r="A36" s="134"/>
      <c r="B36" s="102" t="n">
        <v>50610003</v>
      </c>
      <c r="C36" s="102" t="s">
        <v>210</v>
      </c>
      <c r="D36" s="67" t="n">
        <f aca="false">'14Distrib de Classe de Custo'!C17*'7Consumo Área - CALC'!C48</f>
        <v>0</v>
      </c>
      <c r="E36" s="67" t="n">
        <f aca="false">'14Distrib de Classe de Custo'!D17*'7Consumo Área - CALC'!D48</f>
        <v>0</v>
      </c>
      <c r="F36" s="67" t="n">
        <f aca="false">'14Distrib de Classe de Custo'!E17*'7Consumo Área - CALC'!E48</f>
        <v>0</v>
      </c>
      <c r="G36" s="67" t="n">
        <f aca="false">'14Distrib de Classe de Custo'!F17*'7Consumo Área - CALC'!F48</f>
        <v>0</v>
      </c>
      <c r="H36" s="67" t="n">
        <f aca="false">'14Distrib de Classe de Custo'!G17*'7Consumo Área - CALC'!G48</f>
        <v>0</v>
      </c>
      <c r="I36" s="67" t="n">
        <f aca="false">'14Distrib de Classe de Custo'!H17*'7Consumo Área - CALC'!H48</f>
        <v>0</v>
      </c>
      <c r="J36" s="67" t="n">
        <f aca="false">'14Distrib de Classe de Custo'!I17*'7Consumo Área - CALC'!I48</f>
        <v>0</v>
      </c>
      <c r="K36" s="67" t="n">
        <f aca="false">'14Distrib de Classe de Custo'!J17*'7Consumo Área - CALC'!J48</f>
        <v>0</v>
      </c>
      <c r="L36" s="67" t="n">
        <f aca="false">'14Distrib de Classe de Custo'!K17*'7Consumo Área - CALC'!K48</f>
        <v>0</v>
      </c>
      <c r="M36" s="67" t="n">
        <f aca="false">'14Distrib de Classe de Custo'!L17*'7Consumo Área - CALC'!L48</f>
        <v>0</v>
      </c>
      <c r="N36" s="67" t="n">
        <f aca="false">'14Distrib de Classe de Custo'!M17*'7Consumo Área - CALC'!M48</f>
        <v>0</v>
      </c>
      <c r="O36" s="67" t="n">
        <f aca="false">'14Distrib de Classe de Custo'!N17*'7Consumo Área - CALC'!N48</f>
        <v>0</v>
      </c>
    </row>
    <row r="37" customFormat="false" ht="15.75" hidden="false" customHeight="false" outlineLevel="0" collapsed="false">
      <c r="A37" s="134"/>
      <c r="B37" s="102" t="s">
        <v>211</v>
      </c>
      <c r="C37" s="102" t="s">
        <v>212</v>
      </c>
      <c r="D37" s="67" t="n">
        <f aca="false">'14Distrib de Classe de Custo'!C19*'7Consumo Área - CALC'!C48</f>
        <v>0</v>
      </c>
      <c r="E37" s="67" t="n">
        <f aca="false">'14Distrib de Classe de Custo'!D19*'7Consumo Área - CALC'!D48</f>
        <v>0</v>
      </c>
      <c r="F37" s="67" t="n">
        <f aca="false">'14Distrib de Classe de Custo'!E19*'7Consumo Área - CALC'!E48</f>
        <v>0</v>
      </c>
      <c r="G37" s="67" t="n">
        <f aca="false">'14Distrib de Classe de Custo'!F19*'7Consumo Área - CALC'!F48</f>
        <v>0</v>
      </c>
      <c r="H37" s="67" t="n">
        <f aca="false">'14Distrib de Classe de Custo'!G19*'7Consumo Área - CALC'!G48</f>
        <v>0</v>
      </c>
      <c r="I37" s="67" t="n">
        <f aca="false">'14Distrib de Classe de Custo'!H19*'7Consumo Área - CALC'!H48</f>
        <v>0</v>
      </c>
      <c r="J37" s="67" t="n">
        <f aca="false">'14Distrib de Classe de Custo'!I19*'7Consumo Área - CALC'!I48</f>
        <v>0</v>
      </c>
      <c r="K37" s="67" t="n">
        <f aca="false">'14Distrib de Classe de Custo'!J19*'7Consumo Área - CALC'!J48</f>
        <v>0</v>
      </c>
      <c r="L37" s="67" t="n">
        <f aca="false">'14Distrib de Classe de Custo'!K19*'7Consumo Área - CALC'!K48</f>
        <v>0</v>
      </c>
      <c r="M37" s="67" t="n">
        <f aca="false">'14Distrib de Classe de Custo'!L19*'7Consumo Área - CALC'!L48</f>
        <v>0</v>
      </c>
      <c r="N37" s="67" t="n">
        <f aca="false">'14Distrib de Classe de Custo'!M19*'7Consumo Área - CALC'!M48</f>
        <v>0</v>
      </c>
      <c r="O37" s="67" t="n">
        <f aca="false">'14Distrib de Classe de Custo'!N19*'7Consumo Área - CALC'!N48</f>
        <v>0</v>
      </c>
    </row>
    <row r="38" customFormat="false" ht="15.75" hidden="false" customHeight="true" outlineLevel="0" collapsed="false">
      <c r="A38" s="134" t="s">
        <v>224</v>
      </c>
      <c r="B38" s="102" t="n">
        <v>50610002</v>
      </c>
      <c r="C38" s="102" t="s">
        <v>139</v>
      </c>
      <c r="D38" s="67" t="n">
        <f aca="false">'14Distrib de Classe de Custo'!C21*'7Consumo Área - CALC'!C49</f>
        <v>0</v>
      </c>
      <c r="E38" s="67" t="n">
        <f aca="false">'14Distrib de Classe de Custo'!D21*'7Consumo Área - CALC'!D49</f>
        <v>0</v>
      </c>
      <c r="F38" s="67" t="n">
        <f aca="false">'14Distrib de Classe de Custo'!E21*'7Consumo Área - CALC'!E49</f>
        <v>0</v>
      </c>
      <c r="G38" s="67" t="n">
        <f aca="false">'14Distrib de Classe de Custo'!F21*'7Consumo Área - CALC'!F49</f>
        <v>0</v>
      </c>
      <c r="H38" s="67" t="n">
        <f aca="false">'14Distrib de Classe de Custo'!G21*'7Consumo Área - CALC'!G49</f>
        <v>0</v>
      </c>
      <c r="I38" s="67" t="n">
        <f aca="false">'14Distrib de Classe de Custo'!H21*'7Consumo Área - CALC'!H49</f>
        <v>0</v>
      </c>
      <c r="J38" s="67" t="n">
        <f aca="false">'14Distrib de Classe de Custo'!I21*'7Consumo Área - CALC'!I49</f>
        <v>0</v>
      </c>
      <c r="K38" s="67" t="n">
        <f aca="false">'14Distrib de Classe de Custo'!J21*'7Consumo Área - CALC'!J49</f>
        <v>0</v>
      </c>
      <c r="L38" s="67" t="n">
        <f aca="false">'14Distrib de Classe de Custo'!K21*'7Consumo Área - CALC'!K49</f>
        <v>0</v>
      </c>
      <c r="M38" s="67" t="n">
        <f aca="false">'14Distrib de Classe de Custo'!L21*'7Consumo Área - CALC'!L49</f>
        <v>0</v>
      </c>
      <c r="N38" s="67" t="n">
        <f aca="false">'14Distrib de Classe de Custo'!M21*'7Consumo Área - CALC'!M49</f>
        <v>0</v>
      </c>
      <c r="O38" s="67" t="n">
        <f aca="false">'14Distrib de Classe de Custo'!N21*'7Consumo Área - CALC'!N49</f>
        <v>0</v>
      </c>
    </row>
    <row r="39" customFormat="false" ht="15.75" hidden="false" customHeight="false" outlineLevel="0" collapsed="false">
      <c r="A39" s="134"/>
      <c r="B39" s="102" t="n">
        <v>50610003</v>
      </c>
      <c r="C39" s="102" t="s">
        <v>210</v>
      </c>
      <c r="D39" s="67" t="n">
        <f aca="false">'14Distrib de Classe de Custo'!C17*'7Consumo Área - CALC'!C49</f>
        <v>0</v>
      </c>
      <c r="E39" s="67" t="n">
        <f aca="false">'14Distrib de Classe de Custo'!D17*'7Consumo Área - CALC'!D49</f>
        <v>0</v>
      </c>
      <c r="F39" s="67" t="n">
        <f aca="false">'14Distrib de Classe de Custo'!E17*'7Consumo Área - CALC'!E49</f>
        <v>0</v>
      </c>
      <c r="G39" s="67" t="n">
        <f aca="false">'14Distrib de Classe de Custo'!F17*'7Consumo Área - CALC'!F49</f>
        <v>0</v>
      </c>
      <c r="H39" s="67" t="n">
        <f aca="false">'14Distrib de Classe de Custo'!G17*'7Consumo Área - CALC'!G49</f>
        <v>0</v>
      </c>
      <c r="I39" s="67" t="n">
        <f aca="false">'14Distrib de Classe de Custo'!H17*'7Consumo Área - CALC'!H49</f>
        <v>0</v>
      </c>
      <c r="J39" s="67" t="n">
        <f aca="false">'14Distrib de Classe de Custo'!I17*'7Consumo Área - CALC'!I49</f>
        <v>0</v>
      </c>
      <c r="K39" s="67" t="n">
        <f aca="false">'14Distrib de Classe de Custo'!J17*'7Consumo Área - CALC'!J49</f>
        <v>0</v>
      </c>
      <c r="L39" s="67" t="n">
        <f aca="false">'14Distrib de Classe de Custo'!K17*'7Consumo Área - CALC'!K49</f>
        <v>0</v>
      </c>
      <c r="M39" s="67" t="n">
        <f aca="false">'14Distrib de Classe de Custo'!L17*'7Consumo Área - CALC'!L49</f>
        <v>0</v>
      </c>
      <c r="N39" s="67" t="n">
        <f aca="false">'14Distrib de Classe de Custo'!M17*'7Consumo Área - CALC'!M49</f>
        <v>0</v>
      </c>
      <c r="O39" s="67" t="n">
        <f aca="false">'14Distrib de Classe de Custo'!N17*'7Consumo Área - CALC'!N49</f>
        <v>0</v>
      </c>
    </row>
    <row r="40" customFormat="false" ht="15.75" hidden="false" customHeight="false" outlineLevel="0" collapsed="false">
      <c r="A40" s="134"/>
      <c r="B40" s="102" t="s">
        <v>211</v>
      </c>
      <c r="C40" s="102" t="s">
        <v>212</v>
      </c>
      <c r="D40" s="67" t="n">
        <f aca="false">'14Distrib de Classe de Custo'!C19*'7Consumo Área - CALC'!C49</f>
        <v>0</v>
      </c>
      <c r="E40" s="67" t="n">
        <f aca="false">'14Distrib de Classe de Custo'!D19*'7Consumo Área - CALC'!D49</f>
        <v>0</v>
      </c>
      <c r="F40" s="67" t="n">
        <f aca="false">'14Distrib de Classe de Custo'!E19*'7Consumo Área - CALC'!E49</f>
        <v>0</v>
      </c>
      <c r="G40" s="67" t="n">
        <f aca="false">'14Distrib de Classe de Custo'!F19*'7Consumo Área - CALC'!F49</f>
        <v>0</v>
      </c>
      <c r="H40" s="67" t="n">
        <f aca="false">'14Distrib de Classe de Custo'!G19*'7Consumo Área - CALC'!G49</f>
        <v>0</v>
      </c>
      <c r="I40" s="67" t="n">
        <f aca="false">'14Distrib de Classe de Custo'!H19*'7Consumo Área - CALC'!H49</f>
        <v>0</v>
      </c>
      <c r="J40" s="67" t="n">
        <f aca="false">'14Distrib de Classe de Custo'!I19*'7Consumo Área - CALC'!I49</f>
        <v>0</v>
      </c>
      <c r="K40" s="67" t="n">
        <f aca="false">'14Distrib de Classe de Custo'!J19*'7Consumo Área - CALC'!J49</f>
        <v>0</v>
      </c>
      <c r="L40" s="67" t="n">
        <f aca="false">'14Distrib de Classe de Custo'!K19*'7Consumo Área - CALC'!K49</f>
        <v>0</v>
      </c>
      <c r="M40" s="67" t="n">
        <f aca="false">'14Distrib de Classe de Custo'!L19*'7Consumo Área - CALC'!L49</f>
        <v>0</v>
      </c>
      <c r="N40" s="67" t="n">
        <f aca="false">'14Distrib de Classe de Custo'!M19*'7Consumo Área - CALC'!M49</f>
        <v>0</v>
      </c>
      <c r="O40" s="67" t="n">
        <f aca="false">'14Distrib de Classe de Custo'!N19*'7Consumo Área - CALC'!N49</f>
        <v>0</v>
      </c>
    </row>
    <row r="41" customFormat="false" ht="15.75" hidden="false" customHeight="true" outlineLevel="0" collapsed="false">
      <c r="A41" s="134" t="s">
        <v>225</v>
      </c>
      <c r="B41" s="102" t="n">
        <v>50610002</v>
      </c>
      <c r="C41" s="102" t="s">
        <v>139</v>
      </c>
      <c r="D41" s="67" t="n">
        <f aca="false">'14Distrib de Classe de Custo'!C21*'7Consumo Área - CALC'!C50</f>
        <v>1691204.22061388</v>
      </c>
      <c r="E41" s="67" t="n">
        <f aca="false">'14Distrib de Classe de Custo'!D21*'7Consumo Área - CALC'!D50</f>
        <v>1605311.71335235</v>
      </c>
      <c r="F41" s="67" t="n">
        <f aca="false">'14Distrib de Classe de Custo'!E21*'7Consumo Área - CALC'!E50</f>
        <v>1392629.40016232</v>
      </c>
      <c r="G41" s="67" t="n">
        <f aca="false">'14Distrib de Classe de Custo'!F21*'7Consumo Área - CALC'!F50</f>
        <v>2344078.33780762</v>
      </c>
      <c r="H41" s="67" t="n">
        <f aca="false">'14Distrib de Classe de Custo'!G21*'7Consumo Área - CALC'!G50</f>
        <v>2384910.93724499</v>
      </c>
      <c r="I41" s="67" t="n">
        <f aca="false">'14Distrib de Classe de Custo'!H21*'7Consumo Área - CALC'!H50</f>
        <v>2666053.19984548</v>
      </c>
      <c r="J41" s="67" t="n">
        <f aca="false">'14Distrib de Classe de Custo'!I21*'7Consumo Área - CALC'!I50</f>
        <v>2942663.39292597</v>
      </c>
      <c r="K41" s="67" t="n">
        <f aca="false">'14Distrib de Classe de Custo'!J21*'7Consumo Área - CALC'!J50</f>
        <v>2558874.02596627</v>
      </c>
      <c r="L41" s="67" t="n">
        <f aca="false">'14Distrib de Classe de Custo'!K21*'7Consumo Área - CALC'!K50</f>
        <v>2667922.73447654</v>
      </c>
      <c r="M41" s="67" t="n">
        <f aca="false">'14Distrib de Classe de Custo'!L21*'7Consumo Área - CALC'!L50</f>
        <v>2688323.23179487</v>
      </c>
      <c r="N41" s="67" t="n">
        <f aca="false">'14Distrib de Classe de Custo'!M21*'7Consumo Área - CALC'!M50</f>
        <v>1784871.23633735</v>
      </c>
      <c r="O41" s="67" t="n">
        <f aca="false">'14Distrib de Classe de Custo'!N21*'7Consumo Área - CALC'!N50</f>
        <v>1861813.93383117</v>
      </c>
    </row>
    <row r="42" customFormat="false" ht="15.75" hidden="false" customHeight="false" outlineLevel="0" collapsed="false">
      <c r="A42" s="134"/>
      <c r="B42" s="102" t="n">
        <v>50610003</v>
      </c>
      <c r="C42" s="102" t="s">
        <v>210</v>
      </c>
      <c r="D42" s="67" t="n">
        <f aca="false">'14Distrib de Classe de Custo'!C17*'7Consumo Área - CALC'!C50</f>
        <v>755073.556722544</v>
      </c>
      <c r="E42" s="67" t="n">
        <f aca="false">'14Distrib de Classe de Custo'!D17*'7Consumo Área - CALC'!D50</f>
        <v>727902.248111975</v>
      </c>
      <c r="F42" s="67" t="n">
        <f aca="false">'14Distrib de Classe de Custo'!E17*'7Consumo Área - CALC'!E50</f>
        <v>612874.997788114</v>
      </c>
      <c r="G42" s="67" t="n">
        <f aca="false">'14Distrib de Classe de Custo'!F17*'7Consumo Área - CALC'!F50</f>
        <v>830867.062890234</v>
      </c>
      <c r="H42" s="67" t="n">
        <f aca="false">'14Distrib de Classe de Custo'!G17*'7Consumo Área - CALC'!G50</f>
        <v>839145.6143053</v>
      </c>
      <c r="I42" s="67" t="n">
        <f aca="false">'14Distrib de Classe de Custo'!H17*'7Consumo Área - CALC'!H50</f>
        <v>847512.772658678</v>
      </c>
      <c r="J42" s="67" t="n">
        <f aca="false">'14Distrib de Classe de Custo'!I17*'7Consumo Área - CALC'!I50</f>
        <v>994429.338255319</v>
      </c>
      <c r="K42" s="67" t="n">
        <f aca="false">'14Distrib de Classe de Custo'!J17*'7Consumo Área - CALC'!J50</f>
        <v>833552.064487078</v>
      </c>
      <c r="L42" s="67" t="n">
        <f aca="false">'14Distrib de Classe de Custo'!K17*'7Consumo Área - CALC'!K50</f>
        <v>827953.592496139</v>
      </c>
      <c r="M42" s="67" t="n">
        <f aca="false">'14Distrib de Classe de Custo'!L17*'7Consumo Área - CALC'!L50</f>
        <v>847493.577060579</v>
      </c>
      <c r="N42" s="67" t="n">
        <f aca="false">'14Distrib de Classe de Custo'!M17*'7Consumo Área - CALC'!M50</f>
        <v>745711.78014063</v>
      </c>
      <c r="O42" s="67" t="n">
        <f aca="false">'14Distrib de Classe de Custo'!N17*'7Consumo Área - CALC'!N50</f>
        <v>772181.919670579</v>
      </c>
    </row>
    <row r="43" customFormat="false" ht="15.75" hidden="false" customHeight="false" outlineLevel="0" collapsed="false">
      <c r="A43" s="134"/>
      <c r="B43" s="102" t="s">
        <v>211</v>
      </c>
      <c r="C43" s="102" t="s">
        <v>212</v>
      </c>
      <c r="D43" s="67" t="n">
        <f aca="false">'14Distrib de Classe de Custo'!C19*'7Consumo Área - CALC'!C50</f>
        <v>912169.940118477</v>
      </c>
      <c r="E43" s="67" t="n">
        <f aca="false">'14Distrib de Classe de Custo'!D19*'7Consumo Área - CALC'!D50</f>
        <v>726444.500325023</v>
      </c>
      <c r="F43" s="67" t="n">
        <f aca="false">'14Distrib de Classe de Custo'!E19*'7Consumo Área - CALC'!E50</f>
        <v>614776.968313211</v>
      </c>
      <c r="G43" s="67" t="n">
        <f aca="false">'14Distrib de Classe de Custo'!F19*'7Consumo Área - CALC'!F50</f>
        <v>954044.458366523</v>
      </c>
      <c r="H43" s="67" t="n">
        <f aca="false">'14Distrib de Classe de Custo'!G19*'7Consumo Área - CALC'!G50</f>
        <v>958391.423611586</v>
      </c>
      <c r="I43" s="67" t="n">
        <f aca="false">'14Distrib de Classe de Custo'!H19*'7Consumo Área - CALC'!H50</f>
        <v>1158580.64927526</v>
      </c>
      <c r="J43" s="67" t="n">
        <f aca="false">'14Distrib de Classe de Custo'!I19*'7Consumo Área - CALC'!I50</f>
        <v>1363059.69436808</v>
      </c>
      <c r="K43" s="67" t="n">
        <f aca="false">'14Distrib de Classe de Custo'!J19*'7Consumo Área - CALC'!J50</f>
        <v>1130656.40924905</v>
      </c>
      <c r="L43" s="67" t="n">
        <f aca="false">'14Distrib de Classe de Custo'!K19*'7Consumo Área - CALC'!K50</f>
        <v>1160712.98013585</v>
      </c>
      <c r="M43" s="67" t="n">
        <f aca="false">'14Distrib de Classe de Custo'!L19*'7Consumo Área - CALC'!L50</f>
        <v>1167539.5501713</v>
      </c>
      <c r="N43" s="67" t="n">
        <f aca="false">'14Distrib de Classe de Custo'!M19*'7Consumo Área - CALC'!M50</f>
        <v>839416.876794769</v>
      </c>
      <c r="O43" s="67" t="n">
        <f aca="false">'14Distrib de Classe de Custo'!N19*'7Consumo Área - CALC'!N50</f>
        <v>879457.115561413</v>
      </c>
    </row>
    <row r="44" customFormat="false" ht="15.75" hidden="false" customHeight="true" outlineLevel="0" collapsed="false">
      <c r="A44" s="134" t="s">
        <v>226</v>
      </c>
      <c r="B44" s="102" t="n">
        <v>50610002</v>
      </c>
      <c r="C44" s="102" t="s">
        <v>139</v>
      </c>
      <c r="D44" s="67" t="n">
        <f aca="false">'14Distrib de Classe de Custo'!C21*'7Consumo Área - CALC'!C51</f>
        <v>2270124.32536835</v>
      </c>
      <c r="E44" s="67" t="n">
        <f aca="false">'14Distrib de Classe de Custo'!D21*'7Consumo Área - CALC'!D51</f>
        <v>2078767.66507247</v>
      </c>
      <c r="F44" s="67" t="n">
        <f aca="false">'14Distrib de Classe de Custo'!E21*'7Consumo Área - CALC'!E51</f>
        <v>2637182.49801617</v>
      </c>
      <c r="G44" s="67" t="n">
        <f aca="false">'14Distrib de Classe de Custo'!F21*'7Consumo Área - CALC'!F51</f>
        <v>3142762.60103495</v>
      </c>
      <c r="H44" s="67" t="n">
        <f aca="false">'14Distrib de Classe de Custo'!G21*'7Consumo Área - CALC'!G51</f>
        <v>3098458.25740867</v>
      </c>
      <c r="I44" s="67" t="n">
        <f aca="false">'14Distrib de Classe de Custo'!H21*'7Consumo Área - CALC'!H51</f>
        <v>3700111.81586438</v>
      </c>
      <c r="J44" s="67" t="n">
        <f aca="false">'14Distrib de Classe de Custo'!I21*'7Consumo Área - CALC'!I51</f>
        <v>3949366.38418494</v>
      </c>
      <c r="K44" s="67" t="n">
        <f aca="false">'14Distrib de Classe de Custo'!J21*'7Consumo Área - CALC'!J51</f>
        <v>3317085.92529233</v>
      </c>
      <c r="L44" s="67" t="n">
        <f aca="false">'14Distrib de Classe de Custo'!K21*'7Consumo Área - CALC'!K51</f>
        <v>3694651.51223754</v>
      </c>
      <c r="M44" s="67" t="n">
        <f aca="false">'14Distrib de Classe de Custo'!L21*'7Consumo Área - CALC'!L51</f>
        <v>3607642.43316792</v>
      </c>
      <c r="N44" s="67" t="n">
        <f aca="false">'14Distrib de Classe de Custo'!M21*'7Consumo Área - CALC'!M51</f>
        <v>2298024.68427116</v>
      </c>
      <c r="O44" s="67" t="n">
        <f aca="false">'14Distrib de Classe de Custo'!N21*'7Consumo Área - CALC'!N51</f>
        <v>2574471.15033368</v>
      </c>
    </row>
    <row r="45" customFormat="false" ht="15.75" hidden="false" customHeight="false" outlineLevel="0" collapsed="false">
      <c r="A45" s="134"/>
      <c r="B45" s="102" t="n">
        <v>50610003</v>
      </c>
      <c r="C45" s="102" t="s">
        <v>210</v>
      </c>
      <c r="D45" s="67" t="n">
        <f aca="false">'14Distrib de Classe de Custo'!C17*'7Consumo Área - CALC'!C51</f>
        <v>1013544.56644867</v>
      </c>
      <c r="E45" s="67" t="n">
        <f aca="false">'14Distrib de Classe de Custo'!D17*'7Consumo Área - CALC'!D51</f>
        <v>942583.078490632</v>
      </c>
      <c r="F45" s="67" t="n">
        <f aca="false">'14Distrib de Classe de Custo'!E17*'7Consumo Área - CALC'!E51</f>
        <v>1160583.86922618</v>
      </c>
      <c r="G45" s="67" t="n">
        <f aca="false">'14Distrib de Classe de Custo'!F17*'7Consumo Área - CALC'!F51</f>
        <v>1113963.59480264</v>
      </c>
      <c r="H45" s="67" t="n">
        <f aca="false">'14Distrib de Classe de Custo'!G17*'7Consumo Área - CALC'!G51</f>
        <v>1090211.63734361</v>
      </c>
      <c r="I45" s="67" t="n">
        <f aca="false">'14Distrib de Classe de Custo'!H17*'7Consumo Área - CALC'!H51</f>
        <v>1176230.10088175</v>
      </c>
      <c r="J45" s="67" t="n">
        <f aca="false">'14Distrib de Classe de Custo'!I17*'7Consumo Área - CALC'!I51</f>
        <v>1334629.64516908</v>
      </c>
      <c r="K45" s="67" t="n">
        <f aca="false">'14Distrib de Classe de Custo'!J17*'7Consumo Área - CALC'!J51</f>
        <v>1080539.25009628</v>
      </c>
      <c r="L45" s="67" t="n">
        <f aca="false">'14Distrib de Classe de Custo'!K17*'7Consumo Área - CALC'!K51</f>
        <v>1146584.92656031</v>
      </c>
      <c r="M45" s="67" t="n">
        <f aca="false">'14Distrib de Classe de Custo'!L17*'7Consumo Área - CALC'!L51</f>
        <v>1137308.84526102</v>
      </c>
      <c r="N45" s="67" t="n">
        <f aca="false">'14Distrib de Classe de Custo'!M17*'7Consumo Área - CALC'!M51</f>
        <v>960105.156734717</v>
      </c>
      <c r="O45" s="67" t="n">
        <f aca="false">'14Distrib de Classe de Custo'!N17*'7Consumo Área - CALC'!N51</f>
        <v>1067754.42963328</v>
      </c>
    </row>
    <row r="46" customFormat="false" ht="15.75" hidden="false" customHeight="false" outlineLevel="0" collapsed="false">
      <c r="A46" s="134"/>
      <c r="B46" s="102" t="s">
        <v>211</v>
      </c>
      <c r="C46" s="102" t="s">
        <v>212</v>
      </c>
      <c r="D46" s="67" t="n">
        <f aca="false">'14Distrib de Classe de Custo'!C19*'7Consumo Área - CALC'!C51</f>
        <v>1224416.98329082</v>
      </c>
      <c r="E46" s="67" t="n">
        <f aca="false">'14Distrib de Classe de Custo'!D19*'7Consumo Área - CALC'!D51</f>
        <v>940695.395906533</v>
      </c>
      <c r="F46" s="67" t="n">
        <f aca="false">'14Distrib de Classe de Custo'!E19*'7Consumo Área - CALC'!E51</f>
        <v>1164185.57645708</v>
      </c>
      <c r="G46" s="67" t="n">
        <f aca="false">'14Distrib de Classe de Custo'!F19*'7Consumo Área - CALC'!F51</f>
        <v>1279110.51227206</v>
      </c>
      <c r="H46" s="67" t="n">
        <f aca="false">'14Distrib de Classe de Custo'!G19*'7Consumo Área - CALC'!G51</f>
        <v>1245134.89117935</v>
      </c>
      <c r="I46" s="67" t="n">
        <f aca="false">'14Distrib de Classe de Custo'!H19*'7Consumo Área - CALC'!H51</f>
        <v>1607949.14004855</v>
      </c>
      <c r="J46" s="67" t="n">
        <f aca="false">'14Distrib de Classe de Custo'!I19*'7Consumo Área - CALC'!I51</f>
        <v>1829370.68151108</v>
      </c>
      <c r="K46" s="67" t="n">
        <f aca="false">'14Distrib de Classe de Custo'!J19*'7Consumo Área - CALC'!J51</f>
        <v>1465677.64704452</v>
      </c>
      <c r="L46" s="67" t="n">
        <f aca="false">'14Distrib de Classe de Custo'!K19*'7Consumo Área - CALC'!K51</f>
        <v>1607404.10953996</v>
      </c>
      <c r="M46" s="67" t="n">
        <f aca="false">'14Distrib de Classe de Custo'!L19*'7Consumo Área - CALC'!L51</f>
        <v>1566800.14284873</v>
      </c>
      <c r="N46" s="67" t="n">
        <f aca="false">'14Distrib de Classe de Custo'!M19*'7Consumo Área - CALC'!M51</f>
        <v>1080750.62446891</v>
      </c>
      <c r="O46" s="67" t="n">
        <f aca="false">'14Distrib de Classe de Custo'!N19*'7Consumo Área - CALC'!N51</f>
        <v>1216091.96860477</v>
      </c>
    </row>
    <row r="47" customFormat="false" ht="15.75" hidden="false" customHeight="true" outlineLevel="0" collapsed="false">
      <c r="A47" s="134" t="s">
        <v>227</v>
      </c>
      <c r="B47" s="102" t="n">
        <v>50610002</v>
      </c>
      <c r="C47" s="102" t="s">
        <v>139</v>
      </c>
      <c r="D47" s="67" t="n">
        <f aca="false">'14Distrib de Classe de Custo'!C21*'7Consumo Área - CALC'!C52</f>
        <v>110369.369145791</v>
      </c>
      <c r="E47" s="67" t="n">
        <f aca="false">'14Distrib de Classe de Custo'!D21*'7Consumo Área - CALC'!D52</f>
        <v>102709.741004857</v>
      </c>
      <c r="F47" s="67" t="n">
        <f aca="false">'14Distrib de Classe de Custo'!E21*'7Consumo Área - CALC'!E52</f>
        <v>111621.198259118</v>
      </c>
      <c r="G47" s="67" t="n">
        <f aca="false">'14Distrib de Classe de Custo'!F21*'7Consumo Área - CALC'!F52</f>
        <v>152875.927723382</v>
      </c>
      <c r="H47" s="67" t="n">
        <f aca="false">'14Distrib de Classe de Custo'!G21*'7Consumo Área - CALC'!G52</f>
        <v>152863.907223456</v>
      </c>
      <c r="I47" s="67" t="n">
        <f aca="false">'14Distrib de Classe de Custo'!H21*'7Consumo Área - CALC'!H52</f>
        <v>177268.429475323</v>
      </c>
      <c r="J47" s="67" t="n">
        <f aca="false">'14Distrib de Classe de Custo'!I21*'7Consumo Área - CALC'!I52</f>
        <v>192024.222433458</v>
      </c>
      <c r="K47" s="67" t="n">
        <f aca="false">'14Distrib de Classe de Custo'!J21*'7Consumo Área - CALC'!J52</f>
        <v>163814.876836379</v>
      </c>
      <c r="L47" s="67" t="n">
        <f aca="false">'14Distrib de Classe de Custo'!K21*'7Consumo Área - CALC'!K52</f>
        <v>177175.195923621</v>
      </c>
      <c r="M47" s="67" t="n">
        <f aca="false">'14Distrib de Classe de Custo'!L21*'7Consumo Área - CALC'!L52</f>
        <v>175417.133206777</v>
      </c>
      <c r="N47" s="67" t="n">
        <f aca="false">'14Distrib de Classe de Custo'!M21*'7Consumo Área - CALC'!M52</f>
        <v>113840.054020318</v>
      </c>
      <c r="O47" s="67" t="n">
        <f aca="false">'14Distrib de Classe de Custo'!N21*'7Consumo Área - CALC'!N52</f>
        <v>123538.082962326</v>
      </c>
    </row>
    <row r="48" customFormat="false" ht="15.75" hidden="false" customHeight="false" outlineLevel="0" collapsed="false">
      <c r="A48" s="134"/>
      <c r="B48" s="102" t="n">
        <v>50610003</v>
      </c>
      <c r="C48" s="102" t="s">
        <v>210</v>
      </c>
      <c r="D48" s="67" t="n">
        <f aca="false">'14Distrib de Classe de Custo'!C17*'7Consumo Área - CALC'!C52</f>
        <v>49276.7172044342</v>
      </c>
      <c r="E48" s="67" t="n">
        <f aca="false">'14Distrib de Classe de Custo'!D17*'7Consumo Área - CALC'!D52</f>
        <v>46572.0462627834</v>
      </c>
      <c r="F48" s="67" t="n">
        <f aca="false">'14Distrib de Classe de Custo'!E17*'7Consumo Área - CALC'!E52</f>
        <v>49122.7900460741</v>
      </c>
      <c r="G48" s="67" t="n">
        <f aca="false">'14Distrib de Classe de Custo'!F17*'7Consumo Área - CALC'!F52</f>
        <v>54187.4266765956</v>
      </c>
      <c r="H48" s="67" t="n">
        <f aca="false">'14Distrib de Classe de Custo'!G17*'7Consumo Área - CALC'!G52</f>
        <v>53786.1080381964</v>
      </c>
      <c r="I48" s="67" t="n">
        <f aca="false">'14Distrib de Classe de Custo'!H17*'7Consumo Área - CALC'!H52</f>
        <v>56351.9355796006</v>
      </c>
      <c r="J48" s="67" t="n">
        <f aca="false">'14Distrib de Classe de Custo'!I17*'7Consumo Área - CALC'!I52</f>
        <v>64891.730703057</v>
      </c>
      <c r="K48" s="67" t="n">
        <f aca="false">'14Distrib de Classe de Custo'!J17*'7Consumo Área - CALC'!J52</f>
        <v>53362.6225421932</v>
      </c>
      <c r="L48" s="67" t="n">
        <f aca="false">'14Distrib de Classe de Custo'!K17*'7Consumo Área - CALC'!K52</f>
        <v>54983.9161646304</v>
      </c>
      <c r="M48" s="67" t="n">
        <f aca="false">'14Distrib de Classe de Custo'!L17*'7Consumo Área - CALC'!L52</f>
        <v>55300.2302479327</v>
      </c>
      <c r="N48" s="67" t="n">
        <f aca="false">'14Distrib de Classe de Custo'!M17*'7Consumo Área - CALC'!M52</f>
        <v>47561.9011649265</v>
      </c>
      <c r="O48" s="67" t="n">
        <f aca="false">'14Distrib de Classe de Custo'!N17*'7Consumo Área - CALC'!N52</f>
        <v>51237.0609763212</v>
      </c>
    </row>
    <row r="49" customFormat="false" ht="15.75" hidden="false" customHeight="false" outlineLevel="0" collapsed="false">
      <c r="A49" s="134"/>
      <c r="B49" s="102" t="s">
        <v>211</v>
      </c>
      <c r="C49" s="102" t="s">
        <v>212</v>
      </c>
      <c r="D49" s="67" t="n">
        <f aca="false">'14Distrib de Classe de Custo'!C19*'7Consumo Área - CALC'!C52</f>
        <v>59528.9555321039</v>
      </c>
      <c r="E49" s="67" t="n">
        <f aca="false">'14Distrib de Classe de Custo'!D19*'7Consumo Área - CALC'!D52</f>
        <v>46478.77783622</v>
      </c>
      <c r="F49" s="67" t="n">
        <f aca="false">'14Distrib de Classe de Custo'!E19*'7Consumo Área - CALC'!E52</f>
        <v>49275.2356493625</v>
      </c>
      <c r="G49" s="67" t="n">
        <f aca="false">'14Distrib de Classe de Custo'!F19*'7Consumo Área - CALC'!F52</f>
        <v>62220.8009475254</v>
      </c>
      <c r="H49" s="67" t="n">
        <f aca="false">'14Distrib de Classe de Custo'!G19*'7Consumo Área - CALC'!G52</f>
        <v>61429.3202210543</v>
      </c>
      <c r="I49" s="67" t="n">
        <f aca="false">'14Distrib de Classe de Custo'!H19*'7Consumo Área - CALC'!H52</f>
        <v>77035.1364816837</v>
      </c>
      <c r="J49" s="67" t="n">
        <f aca="false">'14Distrib de Classe de Custo'!I19*'7Consumo Área - CALC'!I52</f>
        <v>88946.7951280562</v>
      </c>
      <c r="K49" s="67" t="n">
        <f aca="false">'14Distrib de Classe de Custo'!J19*'7Consumo Área - CALC'!J52</f>
        <v>72382.7505949435</v>
      </c>
      <c r="L49" s="67" t="n">
        <f aca="false">'14Distrib de Classe de Custo'!K19*'7Consumo Área - CALC'!K52</f>
        <v>77082.2734141172</v>
      </c>
      <c r="M49" s="67" t="n">
        <f aca="false">'14Distrib de Classe de Custo'!L19*'7Consumo Área - CALC'!L52</f>
        <v>76183.7112346935</v>
      </c>
      <c r="N49" s="67" t="n">
        <f aca="false">'14Distrib de Classe de Custo'!M19*'7Consumo Área - CALC'!M52</f>
        <v>53538.462973932</v>
      </c>
      <c r="O49" s="67" t="n">
        <f aca="false">'14Distrib de Classe de Custo'!N19*'7Consumo Área - CALC'!N52</f>
        <v>58355.1579080006</v>
      </c>
    </row>
    <row r="51" customFormat="false" ht="15.75" hidden="false" customHeight="false" outlineLevel="0" collapsed="false">
      <c r="A51" s="131" t="s">
        <v>228</v>
      </c>
      <c r="B51" s="131"/>
      <c r="C51" s="131"/>
      <c r="D51" s="131"/>
      <c r="E51" s="131"/>
      <c r="F51" s="131"/>
      <c r="G51" s="131"/>
      <c r="H51" s="131"/>
      <c r="I51" s="131"/>
      <c r="J51" s="131"/>
      <c r="K51" s="131"/>
      <c r="L51" s="131"/>
      <c r="M51" s="131"/>
      <c r="N51" s="131"/>
      <c r="O51" s="131"/>
    </row>
    <row r="52" customFormat="false" ht="15.75" hidden="false" customHeight="false" outlineLevel="0" collapsed="false">
      <c r="A52" s="133" t="s">
        <v>229</v>
      </c>
      <c r="B52" s="133" t="s">
        <v>201</v>
      </c>
      <c r="C52" s="133" t="s">
        <v>208</v>
      </c>
      <c r="D52" s="55" t="s">
        <v>76</v>
      </c>
      <c r="E52" s="55" t="s">
        <v>77</v>
      </c>
      <c r="F52" s="55" t="s">
        <v>78</v>
      </c>
      <c r="G52" s="55" t="s">
        <v>79</v>
      </c>
      <c r="H52" s="55" t="s">
        <v>80</v>
      </c>
      <c r="I52" s="55" t="s">
        <v>81</v>
      </c>
      <c r="J52" s="55" t="s">
        <v>82</v>
      </c>
      <c r="K52" s="55" t="s">
        <v>83</v>
      </c>
      <c r="L52" s="55" t="s">
        <v>84</v>
      </c>
      <c r="M52" s="55" t="s">
        <v>85</v>
      </c>
      <c r="N52" s="55" t="s">
        <v>86</v>
      </c>
      <c r="O52" s="55" t="s">
        <v>87</v>
      </c>
    </row>
    <row r="53" customFormat="false" ht="15.75" hidden="false" customHeight="true" outlineLevel="0" collapsed="false">
      <c r="A53" s="134" t="s">
        <v>44</v>
      </c>
      <c r="B53" s="102" t="n">
        <v>50610002</v>
      </c>
      <c r="C53" s="102" t="s">
        <v>139</v>
      </c>
      <c r="D53" s="135" t="n">
        <f aca="false">SUM(D4+D7+D10+D13+D16+D19+D22+D25)</f>
        <v>7563933.18085522</v>
      </c>
      <c r="E53" s="135" t="n">
        <f aca="false">SUM(E4+E7+E10+E13+E16+E19+E22+E25)</f>
        <v>7887568.39359572</v>
      </c>
      <c r="F53" s="135" t="n">
        <f aca="false">SUM(F4+F7+F10+F13+F16+F19+F22+F25)</f>
        <v>7639137.7838659</v>
      </c>
      <c r="G53" s="135" t="n">
        <f aca="false">SUM(G4+G7+G10+G13+G16+G19+G22+G25)</f>
        <v>7641084.74204397</v>
      </c>
      <c r="H53" s="135" t="n">
        <f aca="false">SUM(H4+H7+H10+H13+H16+H19+H22+H25)</f>
        <v>7633803.37028925</v>
      </c>
      <c r="I53" s="135" t="n">
        <f aca="false">SUM(I4+I7+I10+I13+I16+I19+I22+I25)</f>
        <v>8690418.30923314</v>
      </c>
      <c r="J53" s="135" t="n">
        <f aca="false">SUM(J4+J7+J10+J13+J16+J19+J22+J25)</f>
        <v>9175084.00970366</v>
      </c>
      <c r="K53" s="135" t="n">
        <f aca="false">SUM(K4+K7+K10+K13+K16+K19+K22+K25)</f>
        <v>9236043.67626554</v>
      </c>
      <c r="L53" s="135" t="n">
        <f aca="false">SUM(L4+L7+L10+L13+L16+L19+L22+L25)</f>
        <v>9216992.7226656</v>
      </c>
      <c r="M53" s="135" t="n">
        <f aca="false">SUM(M4+M7+M10+M13+M16+M19+M22+M25)</f>
        <v>9075809.85662902</v>
      </c>
      <c r="N53" s="135" t="n">
        <f aca="false">SUM(N4+N7+N10+N13+N16+N19+N22+N25)</f>
        <v>8613018.67353572</v>
      </c>
      <c r="O53" s="135" t="n">
        <f aca="false">SUM(O4+O7+O10+O13+O16+O19+O22+O25)</f>
        <v>8158763.7533505</v>
      </c>
    </row>
    <row r="54" customFormat="false" ht="15.75" hidden="false" customHeight="false" outlineLevel="0" collapsed="false">
      <c r="A54" s="134"/>
      <c r="B54" s="102" t="n">
        <v>50610003</v>
      </c>
      <c r="C54" s="102" t="s">
        <v>210</v>
      </c>
      <c r="D54" s="135" t="n">
        <f aca="false">SUM(D5+D8+D11+D14+D17+D20+D23+D26)</f>
        <v>1904913.03766292</v>
      </c>
      <c r="E54" s="135" t="n">
        <f aca="false">SUM(E5+E8+E11+E14+E17+E20+E23+E26)</f>
        <v>1895682.1481284</v>
      </c>
      <c r="F54" s="135" t="n">
        <f aca="false">SUM(F5+F8+F11+F14+F17+F20+F23+F26)</f>
        <v>1914814.72287284</v>
      </c>
      <c r="G54" s="135" t="n">
        <f aca="false">SUM(G5+G8+G11+G14+G17+G20+G23+G26)</f>
        <v>1921501.77881233</v>
      </c>
      <c r="H54" s="135" t="n">
        <f aca="false">SUM(H5+H8+H11+H14+H17+H20+H23+H26)</f>
        <v>1927313.71818084</v>
      </c>
      <c r="I54" s="135" t="n">
        <f aca="false">SUM(I5+I8+I11+I14+I17+I20+I23+I26)</f>
        <v>1933395.59830147</v>
      </c>
      <c r="J54" s="135" t="n">
        <f aca="false">SUM(J5+J8+J11+J14+J17+J20+J23+J26)</f>
        <v>2302594.63401669</v>
      </c>
      <c r="K54" s="135" t="n">
        <f aca="false">SUM(K5+K8+K11+K14+K17+K20+K23+K26)</f>
        <v>2289936.94906736</v>
      </c>
      <c r="L54" s="135" t="n">
        <f aca="false">SUM(L5+L8+L11+L14+L17+L20+L23+L26)</f>
        <v>2289424.71247267</v>
      </c>
      <c r="M54" s="135" t="n">
        <f aca="false">SUM(M5+M8+M11+M14+M17+M20+M23+M26)</f>
        <v>2293878.65782275</v>
      </c>
      <c r="N54" s="135" t="n">
        <f aca="false">SUM(N5+N8+N11+N14+N17+N20+N23+N26)</f>
        <v>2258762.38011923</v>
      </c>
      <c r="O54" s="135" t="n">
        <f aca="false">SUM(O5+O8+O11+O14+O17+O20+O23+O26)</f>
        <v>2276529.08311996</v>
      </c>
    </row>
    <row r="55" customFormat="false" ht="15.75" hidden="false" customHeight="false" outlineLevel="0" collapsed="false">
      <c r="A55" s="134"/>
      <c r="B55" s="102" t="s">
        <v>211</v>
      </c>
      <c r="C55" s="102" t="s">
        <v>212</v>
      </c>
      <c r="D55" s="135" t="n">
        <f aca="false">SUM(D6+D9+D12+D15+D18+D21+D24+D27)</f>
        <v>2980747.55925553</v>
      </c>
      <c r="E55" s="135" t="n">
        <f aca="false">SUM(E6+E9+E12+E15+E18+E21+E24+E27)</f>
        <v>3114499.78056789</v>
      </c>
      <c r="F55" s="135" t="n">
        <f aca="false">SUM(F6+F9+F12+F15+F18+F21+F24+F27)</f>
        <v>3018749.88295236</v>
      </c>
      <c r="G55" s="135" t="n">
        <f aca="false">SUM(G6+G9+G12+G15+G18+G21+G24+G27)</f>
        <v>3022154.39269539</v>
      </c>
      <c r="H55" s="135" t="n">
        <f aca="false">SUM(H6+H9+H12+H15+H18+H21+H24+H27)</f>
        <v>3021310.68702624</v>
      </c>
      <c r="I55" s="135" t="n">
        <f aca="false">SUM(I6+I9+I12+I15+I18+I21+I24+I27)</f>
        <v>3119944.13986377</v>
      </c>
      <c r="J55" s="135" t="n">
        <f aca="false">SUM(J6+J9+J12+J15+J18+J21+J24+J27)</f>
        <v>3431335.54367745</v>
      </c>
      <c r="K55" s="135" t="n">
        <f aca="false">SUM(K6+K9+K12+K15+K18+K21+K24+K27)</f>
        <v>3445736.44748387</v>
      </c>
      <c r="L55" s="135" t="n">
        <f aca="false">SUM(L6+L9+L12+L15+L18+L21+L24+L27)</f>
        <v>3440326.26373648</v>
      </c>
      <c r="M55" s="135" t="n">
        <f aca="false">SUM(M6+M9+M12+M15+M18+M21+M24+M27)</f>
        <v>3387172.83265499</v>
      </c>
      <c r="N55" s="135" t="n">
        <f aca="false">SUM(N6+N9+N12+N15+N18+N21+N24+N27)</f>
        <v>3191334.37063605</v>
      </c>
      <c r="O55" s="135" t="n">
        <f aca="false">SUM(O6+O9+O12+O15+O18+O21+O24+O27)</f>
        <v>3027821.49760616</v>
      </c>
    </row>
    <row r="56" s="11" customFormat="true" ht="15.75" hidden="false" customHeight="false" outlineLevel="0" collapsed="false">
      <c r="A56" s="133" t="s">
        <v>186</v>
      </c>
      <c r="B56" s="133"/>
      <c r="C56" s="133"/>
      <c r="D56" s="136" t="n">
        <f aca="false">SUM(D53:D55)</f>
        <v>12449593.7777737</v>
      </c>
      <c r="E56" s="136" t="n">
        <f aca="false">SUM(E53:E55)</f>
        <v>12897750.322292</v>
      </c>
      <c r="F56" s="136" t="n">
        <f aca="false">SUM(F53:F55)</f>
        <v>12572702.3896911</v>
      </c>
      <c r="G56" s="136" t="n">
        <f aca="false">SUM(G53:G55)</f>
        <v>12584740.9135517</v>
      </c>
      <c r="H56" s="136" t="n">
        <f aca="false">SUM(H53:H55)</f>
        <v>12582427.7754963</v>
      </c>
      <c r="I56" s="136" t="n">
        <f aca="false">SUM(I53:I55)</f>
        <v>13743758.0473984</v>
      </c>
      <c r="J56" s="136" t="n">
        <f aca="false">SUM(J53:J55)</f>
        <v>14909014.1873978</v>
      </c>
      <c r="K56" s="136" t="n">
        <f aca="false">SUM(K53:K55)</f>
        <v>14971717.0728168</v>
      </c>
      <c r="L56" s="136" t="n">
        <f aca="false">SUM(L53:L55)</f>
        <v>14946743.6988748</v>
      </c>
      <c r="M56" s="136" t="n">
        <f aca="false">SUM(M53:M55)</f>
        <v>14756861.3471068</v>
      </c>
      <c r="N56" s="136" t="n">
        <f aca="false">SUM(N53:N55)</f>
        <v>14063115.424291</v>
      </c>
      <c r="O56" s="136" t="n">
        <f aca="false">SUM(O53:O55)</f>
        <v>13463114.3340766</v>
      </c>
    </row>
    <row r="57" customFormat="false" ht="15.75" hidden="false" customHeight="true" outlineLevel="0" collapsed="false">
      <c r="A57" s="134" t="s">
        <v>45</v>
      </c>
      <c r="B57" s="102" t="n">
        <v>50610002</v>
      </c>
      <c r="C57" s="102" t="s">
        <v>139</v>
      </c>
      <c r="D57" s="135" t="n">
        <f aca="false">D29+D32+D35+D38+D41+D44+D47</f>
        <v>5687739.69475187</v>
      </c>
      <c r="E57" s="135" t="n">
        <f aca="false">E29+E32+E35+E38+E41+E44+E47</f>
        <v>5339521.90156872</v>
      </c>
      <c r="F57" s="135" t="n">
        <f aca="false">F29+F32+F35+F38+F41+F44+F47</f>
        <v>5776356.89281595</v>
      </c>
      <c r="G57" s="135" t="n">
        <f aca="false">G29+G32+G35+G38+G41+G44+G47</f>
        <v>7855910.11271488</v>
      </c>
      <c r="H57" s="135" t="n">
        <f aca="false">H29+H32+H35+H38+H41+H44+H47</f>
        <v>7934579.69347245</v>
      </c>
      <c r="I57" s="135" t="n">
        <f aca="false">I29+I32+I35+I38+I41+I44+I47</f>
        <v>9103315.59187737</v>
      </c>
      <c r="J57" s="135" t="n">
        <f aca="false">J29+J32+J35+J38+J41+J44+J47</f>
        <v>9849475.57653512</v>
      </c>
      <c r="K57" s="135" t="n">
        <f aca="false">K29+K32+K35+K38+K41+K44+K47</f>
        <v>8470947.84176472</v>
      </c>
      <c r="L57" s="135" t="n">
        <f aca="false">L29+L32+L35+L38+L41+L44+L47</f>
        <v>9136849.10381305</v>
      </c>
      <c r="M57" s="135" t="n">
        <f aca="false">M29+M32+M35+M38+M41+M44+M47</f>
        <v>9008168.74309001</v>
      </c>
      <c r="N57" s="135" t="n">
        <f aca="false">N29+N32+N35+N38+N41+N44+N47</f>
        <v>5910954.15679927</v>
      </c>
      <c r="O57" s="135" t="n">
        <f aca="false">O29+O32+O35+O38+O41+O44+O47</f>
        <v>6358710.46128713</v>
      </c>
    </row>
    <row r="58" customFormat="false" ht="15.75" hidden="false" customHeight="false" outlineLevel="0" collapsed="false">
      <c r="A58" s="134"/>
      <c r="B58" s="102" t="n">
        <v>50610003</v>
      </c>
      <c r="C58" s="102" t="s">
        <v>210</v>
      </c>
      <c r="D58" s="135" t="n">
        <f aca="false">D30+D33+D36+D39+D42+D45+D48</f>
        <v>2539410.55058946</v>
      </c>
      <c r="E58" s="135" t="n">
        <f aca="false">E30+E33+E36+E39+E42+E45+E48</f>
        <v>2421118.56760738</v>
      </c>
      <c r="F58" s="135" t="n">
        <f aca="false">F30+F33+F36+F39+F42+F45+F48</f>
        <v>2542086.72996226</v>
      </c>
      <c r="G58" s="135" t="n">
        <f aca="false">G30+G33+G36+G39+G42+G45+G48</f>
        <v>2784555.81300491</v>
      </c>
      <c r="H58" s="135" t="n">
        <f aca="false">H30+H33+H36+H39+H42+H45+H48</f>
        <v>2791830.77537681</v>
      </c>
      <c r="I58" s="135" t="n">
        <f aca="false">I30+I33+I36+I39+I42+I45+I48</f>
        <v>2893856.82105148</v>
      </c>
      <c r="J58" s="135" t="n">
        <f aca="false">J30+J33+J36+J39+J42+J45+J48</f>
        <v>3328483.81615157</v>
      </c>
      <c r="K58" s="135" t="n">
        <f aca="false">K30+K33+K36+K39+K42+K45+K48</f>
        <v>2759407.45422159</v>
      </c>
      <c r="L58" s="135" t="n">
        <f aca="false">L30+L33+L36+L39+L42+L45+L48</f>
        <v>2835497.04863601</v>
      </c>
      <c r="M58" s="135" t="n">
        <f aca="false">M30+M33+M36+M39+M42+M45+M48</f>
        <v>2839824.1180803</v>
      </c>
      <c r="N58" s="135" t="n">
        <f aca="false">N30+N33+N36+N39+N42+N45+N48</f>
        <v>2469572.06596125</v>
      </c>
      <c r="O58" s="135" t="n">
        <f aca="false">O30+O33+O36+O39+O42+O45+O48</f>
        <v>2637256.68897661</v>
      </c>
    </row>
    <row r="59" customFormat="false" ht="15.75" hidden="false" customHeight="false" outlineLevel="0" collapsed="false">
      <c r="A59" s="134"/>
      <c r="B59" s="102" t="s">
        <v>211</v>
      </c>
      <c r="C59" s="102" t="s">
        <v>212</v>
      </c>
      <c r="D59" s="135" t="n">
        <f aca="false">D31+D34+D37+D40+D43+D46+D49</f>
        <v>3067746.11459288</v>
      </c>
      <c r="E59" s="135" t="n">
        <f aca="false">E31+E34+E37+E40+E43+E46+E49</f>
        <v>2416269.86677835</v>
      </c>
      <c r="F59" s="135" t="n">
        <f aca="false">F31+F34+F37+F40+F43+F46+F49</f>
        <v>2549975.73514289</v>
      </c>
      <c r="G59" s="135" t="n">
        <f aca="false">G31+G34+G37+G40+G43+G46+G49</f>
        <v>3197370.74805743</v>
      </c>
      <c r="H59" s="135" t="n">
        <f aca="false">H31+H34+H37+H40+H43+H46+H49</f>
        <v>3188560.63319965</v>
      </c>
      <c r="I59" s="135" t="n">
        <f aca="false">I31+I34+I37+I40+I43+I46+I49</f>
        <v>3956007.06302718</v>
      </c>
      <c r="J59" s="135" t="n">
        <f aca="false">J31+J34+J37+J40+J43+J46+J49</f>
        <v>4562337.37141391</v>
      </c>
      <c r="K59" s="135" t="n">
        <f aca="false">K31+K34+K37+K40+K43+K46+K49</f>
        <v>3742947.62951019</v>
      </c>
      <c r="L59" s="135" t="n">
        <f aca="false">L31+L34+L37+L40+L43+L46+L49</f>
        <v>3975099.88399992</v>
      </c>
      <c r="M59" s="135" t="n">
        <f aca="false">M31+M34+M37+M40+M43+M46+M49</f>
        <v>3912250.26729857</v>
      </c>
      <c r="N59" s="135" t="n">
        <f aca="false">N31+N34+N37+N40+N43+N46+N49</f>
        <v>2779895.02893177</v>
      </c>
      <c r="O59" s="135" t="n">
        <f aca="false">O31+O34+O37+O40+O43+O46+O49</f>
        <v>3003636.96895658</v>
      </c>
    </row>
    <row r="60" s="11" customFormat="true" ht="15.75" hidden="false" customHeight="false" outlineLevel="0" collapsed="false">
      <c r="A60" s="133" t="s">
        <v>186</v>
      </c>
      <c r="B60" s="133"/>
      <c r="C60" s="133"/>
      <c r="D60" s="136" t="n">
        <f aca="false">SUM(D57:D59)</f>
        <v>11294896.3599342</v>
      </c>
      <c r="E60" s="136" t="n">
        <f aca="false">SUM(E57:E59)</f>
        <v>10176910.3359545</v>
      </c>
      <c r="F60" s="136" t="n">
        <f aca="false">SUM(F57:F59)</f>
        <v>10868419.3579211</v>
      </c>
      <c r="G60" s="136" t="n">
        <f aca="false">SUM(G57:G59)</f>
        <v>13837836.6737772</v>
      </c>
      <c r="H60" s="136" t="n">
        <f aca="false">SUM(H57:H59)</f>
        <v>13914971.1020489</v>
      </c>
      <c r="I60" s="136" t="n">
        <f aca="false">SUM(I57:I59)</f>
        <v>15953179.475956</v>
      </c>
      <c r="J60" s="136" t="n">
        <f aca="false">SUM(J57:J59)</f>
        <v>17740296.7641006</v>
      </c>
      <c r="K60" s="136" t="n">
        <f aca="false">SUM(K57:K59)</f>
        <v>14973302.9254965</v>
      </c>
      <c r="L60" s="136" t="n">
        <f aca="false">SUM(L57:L59)</f>
        <v>15947446.036449</v>
      </c>
      <c r="M60" s="136" t="n">
        <f aca="false">SUM(M57:M59)</f>
        <v>15760243.1284689</v>
      </c>
      <c r="N60" s="136" t="n">
        <f aca="false">SUM(N57:N59)</f>
        <v>11160421.2516923</v>
      </c>
      <c r="O60" s="136" t="n">
        <f aca="false">SUM(O57:O59)</f>
        <v>11999604.1192203</v>
      </c>
    </row>
    <row r="62" customFormat="false" ht="15.75" hidden="false" customHeight="false" outlineLevel="0" collapsed="false">
      <c r="A62" s="131" t="s">
        <v>230</v>
      </c>
      <c r="B62" s="131"/>
      <c r="C62" s="131"/>
      <c r="D62" s="131"/>
      <c r="E62" s="131"/>
      <c r="F62" s="131"/>
      <c r="G62" s="131"/>
      <c r="H62" s="131"/>
      <c r="I62" s="131"/>
      <c r="J62" s="131"/>
      <c r="K62" s="131"/>
      <c r="L62" s="131"/>
      <c r="M62" s="131"/>
      <c r="N62" s="131"/>
      <c r="O62" s="131"/>
    </row>
    <row r="63" customFormat="false" ht="15.75" hidden="false" customHeight="false" outlineLevel="0" collapsed="false">
      <c r="A63" s="133" t="s">
        <v>229</v>
      </c>
      <c r="B63" s="133" t="s">
        <v>201</v>
      </c>
      <c r="C63" s="133" t="s">
        <v>208</v>
      </c>
      <c r="D63" s="55" t="s">
        <v>76</v>
      </c>
      <c r="E63" s="55" t="s">
        <v>77</v>
      </c>
      <c r="F63" s="55" t="s">
        <v>78</v>
      </c>
      <c r="G63" s="55" t="s">
        <v>79</v>
      </c>
      <c r="H63" s="55" t="s">
        <v>80</v>
      </c>
      <c r="I63" s="55" t="s">
        <v>81</v>
      </c>
      <c r="J63" s="55" t="s">
        <v>82</v>
      </c>
      <c r="K63" s="55" t="s">
        <v>83</v>
      </c>
      <c r="L63" s="55" t="s">
        <v>84</v>
      </c>
      <c r="M63" s="55" t="s">
        <v>85</v>
      </c>
      <c r="N63" s="55" t="s">
        <v>86</v>
      </c>
      <c r="O63" s="55" t="s">
        <v>87</v>
      </c>
    </row>
    <row r="64" customFormat="false" ht="15.75" hidden="false" customHeight="true" outlineLevel="0" collapsed="false">
      <c r="A64" s="134" t="s">
        <v>173</v>
      </c>
      <c r="B64" s="102" t="n">
        <v>50610002</v>
      </c>
      <c r="C64" s="102" t="s">
        <v>139</v>
      </c>
      <c r="D64" s="135" t="n">
        <f aca="false">D53+D57</f>
        <v>13251672.8756071</v>
      </c>
      <c r="E64" s="135" t="n">
        <f aca="false">E53+E57</f>
        <v>13227090.2951644</v>
      </c>
      <c r="F64" s="135" t="n">
        <f aca="false">F53+F57</f>
        <v>13415494.6766819</v>
      </c>
      <c r="G64" s="135" t="n">
        <f aca="false">G53+G57</f>
        <v>15496994.8547588</v>
      </c>
      <c r="H64" s="135" t="n">
        <f aca="false">H53+H57</f>
        <v>15568383.0637617</v>
      </c>
      <c r="I64" s="135" t="n">
        <f aca="false">I53+I57</f>
        <v>17793733.9011105</v>
      </c>
      <c r="J64" s="135" t="n">
        <f aca="false">J53+J57</f>
        <v>19024559.5862388</v>
      </c>
      <c r="K64" s="135" t="n">
        <f aca="false">K53+K57</f>
        <v>17706991.5180303</v>
      </c>
      <c r="L64" s="135" t="n">
        <f aca="false">L53+L57</f>
        <v>18353841.8264786</v>
      </c>
      <c r="M64" s="135" t="n">
        <f aca="false">M53+M57</f>
        <v>18083978.599719</v>
      </c>
      <c r="N64" s="135" t="n">
        <f aca="false">N53+N57</f>
        <v>14523972.830335</v>
      </c>
      <c r="O64" s="135" t="n">
        <f aca="false">O53+O57</f>
        <v>14517474.2146376</v>
      </c>
    </row>
    <row r="65" customFormat="false" ht="15.75" hidden="false" customHeight="false" outlineLevel="0" collapsed="false">
      <c r="A65" s="134"/>
      <c r="B65" s="102" t="n">
        <v>50610003</v>
      </c>
      <c r="C65" s="102" t="s">
        <v>210</v>
      </c>
      <c r="D65" s="135" t="n">
        <f aca="false">D54+D58</f>
        <v>4444323.58825237</v>
      </c>
      <c r="E65" s="135" t="n">
        <f aca="false">E54+E58</f>
        <v>4316800.71573578</v>
      </c>
      <c r="F65" s="135" t="n">
        <f aca="false">F54+F58</f>
        <v>4456901.4528351</v>
      </c>
      <c r="G65" s="135" t="n">
        <f aca="false">G54+G58</f>
        <v>4706057.59181724</v>
      </c>
      <c r="H65" s="135" t="n">
        <f aca="false">H54+H58</f>
        <v>4719144.49355765</v>
      </c>
      <c r="I65" s="135" t="n">
        <f aca="false">I54+I58</f>
        <v>4827252.41935295</v>
      </c>
      <c r="J65" s="135" t="n">
        <f aca="false">J54+J58</f>
        <v>5631078.45016826</v>
      </c>
      <c r="K65" s="135" t="n">
        <f aca="false">K54+K58</f>
        <v>5049344.40328895</v>
      </c>
      <c r="L65" s="135" t="n">
        <f aca="false">L54+L58</f>
        <v>5124921.76110868</v>
      </c>
      <c r="M65" s="135" t="n">
        <f aca="false">M54+M58</f>
        <v>5133702.77590304</v>
      </c>
      <c r="N65" s="135" t="n">
        <f aca="false">N54+N58</f>
        <v>4728334.44608048</v>
      </c>
      <c r="O65" s="135" t="n">
        <f aca="false">O54+O58</f>
        <v>4913785.77209657</v>
      </c>
    </row>
    <row r="66" customFormat="false" ht="15.75" hidden="false" customHeight="false" outlineLevel="0" collapsed="false">
      <c r="A66" s="134"/>
      <c r="B66" s="102" t="s">
        <v>211</v>
      </c>
      <c r="C66" s="102" t="s">
        <v>212</v>
      </c>
      <c r="D66" s="135" t="n">
        <f aca="false">D55+D59</f>
        <v>6048493.67384841</v>
      </c>
      <c r="E66" s="135" t="n">
        <f aca="false">E55+E59</f>
        <v>5530769.64734624</v>
      </c>
      <c r="F66" s="135" t="n">
        <f aca="false">F55+F59</f>
        <v>5568725.61809525</v>
      </c>
      <c r="G66" s="135" t="n">
        <f aca="false">G55+G59</f>
        <v>6219525.14075281</v>
      </c>
      <c r="H66" s="135" t="n">
        <f aca="false">H55+H59</f>
        <v>6209871.32022589</v>
      </c>
      <c r="I66" s="135" t="n">
        <f aca="false">I55+I59</f>
        <v>7075951.20289094</v>
      </c>
      <c r="J66" s="135" t="n">
        <f aca="false">J55+J59</f>
        <v>7993672.91509136</v>
      </c>
      <c r="K66" s="135" t="n">
        <f aca="false">K55+K59</f>
        <v>7188684.07699407</v>
      </c>
      <c r="L66" s="135" t="n">
        <f aca="false">L55+L59</f>
        <v>7415426.1477364</v>
      </c>
      <c r="M66" s="135" t="n">
        <f aca="false">M55+M59</f>
        <v>7299423.09995356</v>
      </c>
      <c r="N66" s="135" t="n">
        <f aca="false">N55+N59</f>
        <v>5971229.39956782</v>
      </c>
      <c r="O66" s="135" t="n">
        <f aca="false">O55+O59</f>
        <v>6031458.46656274</v>
      </c>
    </row>
    <row r="67" customFormat="false" ht="15.75" hidden="false" customHeight="false" outlineLevel="0" collapsed="false">
      <c r="A67" s="102" t="s">
        <v>186</v>
      </c>
      <c r="B67" s="102"/>
      <c r="C67" s="102"/>
      <c r="D67" s="135" t="n">
        <f aca="false">SUM(D64:D66)</f>
        <v>23744490.1377079</v>
      </c>
      <c r="E67" s="135" t="n">
        <f aca="false">SUM(E64:E66)</f>
        <v>23074660.6582465</v>
      </c>
      <c r="F67" s="135" t="n">
        <f aca="false">SUM(F64:F66)</f>
        <v>23441121.7476122</v>
      </c>
      <c r="G67" s="135" t="n">
        <f aca="false">SUM(G64:G66)</f>
        <v>26422577.5873289</v>
      </c>
      <c r="H67" s="135" t="n">
        <f aca="false">SUM(H64:H66)</f>
        <v>26497398.8775452</v>
      </c>
      <c r="I67" s="135" t="n">
        <f aca="false">SUM(I64:I66)</f>
        <v>29696937.5233544</v>
      </c>
      <c r="J67" s="135" t="n">
        <f aca="false">SUM(J64:J66)</f>
        <v>32649310.9514984</v>
      </c>
      <c r="K67" s="135" t="n">
        <f aca="false">SUM(K64:K66)</f>
        <v>29945019.9983133</v>
      </c>
      <c r="L67" s="135" t="n">
        <f aca="false">SUM(L64:L66)</f>
        <v>30894189.7353237</v>
      </c>
      <c r="M67" s="135" t="n">
        <f aca="false">SUM(M64:M66)</f>
        <v>30517104.4755756</v>
      </c>
      <c r="N67" s="135" t="n">
        <f aca="false">SUM(N64:N66)</f>
        <v>25223536.6759833</v>
      </c>
      <c r="O67" s="135" t="n">
        <f aca="false">SUM(O64:O66)</f>
        <v>25462718.4532969</v>
      </c>
    </row>
  </sheetData>
  <mergeCells count="26">
    <mergeCell ref="A1:O1"/>
    <mergeCell ref="A2:O2"/>
    <mergeCell ref="A4:A6"/>
    <mergeCell ref="A7:A9"/>
    <mergeCell ref="A10:A12"/>
    <mergeCell ref="A13:A15"/>
    <mergeCell ref="A16:A18"/>
    <mergeCell ref="A19:A21"/>
    <mergeCell ref="A22:A24"/>
    <mergeCell ref="A25:A27"/>
    <mergeCell ref="A28:O28"/>
    <mergeCell ref="A29:A31"/>
    <mergeCell ref="A32:A34"/>
    <mergeCell ref="A35:A37"/>
    <mergeCell ref="A38:A40"/>
    <mergeCell ref="A41:A43"/>
    <mergeCell ref="A44:A46"/>
    <mergeCell ref="A47:A49"/>
    <mergeCell ref="A51:O51"/>
    <mergeCell ref="A53:A55"/>
    <mergeCell ref="A56:C56"/>
    <mergeCell ref="A57:A59"/>
    <mergeCell ref="A60:C60"/>
    <mergeCell ref="A62:O62"/>
    <mergeCell ref="A64:A66"/>
    <mergeCell ref="A67:C67"/>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30"/>
  <sheetViews>
    <sheetView showFormulas="false" showGridLines="true" showRowColHeaders="true" showZeros="true" rightToLeft="false" tabSelected="true" showOutlineSymbols="true" defaultGridColor="true" view="normal" topLeftCell="A1" colorId="64" zoomScale="80" zoomScaleNormal="80" zoomScalePageLayoutView="100" workbookViewId="0">
      <selection pane="topLeft" activeCell="I13" activeCellId="0" sqref="I13"/>
    </sheetView>
  </sheetViews>
  <sheetFormatPr defaultColWidth="11" defaultRowHeight="15.75" zeroHeight="false" outlineLevelRow="0" outlineLevelCol="0"/>
  <cols>
    <col collapsed="false" customWidth="true" hidden="false" outlineLevel="0" max="1" min="1" style="0" width="20.12"/>
    <col collapsed="false" customWidth="true" hidden="false" outlineLevel="0" max="2" min="2" style="0" width="27"/>
    <col collapsed="false" customWidth="true" hidden="false" outlineLevel="0" max="14" min="3" style="0" width="13.37"/>
    <col collapsed="false" customWidth="true" hidden="false" outlineLevel="0" max="15" min="15" style="0" width="22"/>
  </cols>
  <sheetData>
    <row r="1" customFormat="false" ht="15.75" hidden="false" customHeight="false" outlineLevel="0" collapsed="false">
      <c r="A1" s="132" t="s">
        <v>231</v>
      </c>
      <c r="B1" s="132"/>
      <c r="C1" s="132"/>
      <c r="D1" s="132"/>
      <c r="E1" s="132"/>
      <c r="F1" s="132"/>
      <c r="G1" s="132"/>
      <c r="H1" s="132"/>
      <c r="I1" s="132"/>
      <c r="J1" s="132"/>
      <c r="K1" s="132"/>
      <c r="L1" s="132"/>
      <c r="M1" s="132"/>
      <c r="N1" s="132"/>
      <c r="O1" s="132"/>
    </row>
    <row r="2" customFormat="false" ht="15.75" hidden="false" customHeight="false" outlineLevel="0" collapsed="false">
      <c r="A2" s="133" t="s">
        <v>184</v>
      </c>
      <c r="B2" s="133" t="s">
        <v>208</v>
      </c>
      <c r="C2" s="77" t="s">
        <v>76</v>
      </c>
      <c r="D2" s="55" t="s">
        <v>77</v>
      </c>
      <c r="E2" s="55" t="s">
        <v>78</v>
      </c>
      <c r="F2" s="55" t="s">
        <v>79</v>
      </c>
      <c r="G2" s="55" t="s">
        <v>80</v>
      </c>
      <c r="H2" s="55" t="s">
        <v>81</v>
      </c>
      <c r="I2" s="55" t="s">
        <v>82</v>
      </c>
      <c r="J2" s="55" t="s">
        <v>83</v>
      </c>
      <c r="K2" s="55" t="s">
        <v>84</v>
      </c>
      <c r="L2" s="55" t="s">
        <v>85</v>
      </c>
      <c r="M2" s="55" t="s">
        <v>86</v>
      </c>
      <c r="N2" s="55" t="s">
        <v>87</v>
      </c>
      <c r="O2" s="55" t="s">
        <v>232</v>
      </c>
    </row>
    <row r="3" customFormat="false" ht="15.75" hidden="false" customHeight="false" outlineLevel="0" collapsed="false">
      <c r="A3" s="102" t="n">
        <v>50610002</v>
      </c>
      <c r="B3" s="137" t="s">
        <v>139</v>
      </c>
      <c r="C3" s="67" t="n">
        <f aca="false">'15Distrib Centro de Custos'!D64</f>
        <v>13251672.8756071</v>
      </c>
      <c r="D3" s="67" t="n">
        <f aca="false">'15Distrib Centro de Custos'!E64</f>
        <v>13227090.2951644</v>
      </c>
      <c r="E3" s="67" t="n">
        <f aca="false">'15Distrib Centro de Custos'!F64</f>
        <v>13415494.6766819</v>
      </c>
      <c r="F3" s="67" t="n">
        <f aca="false">'15Distrib Centro de Custos'!G64</f>
        <v>15496994.8547588</v>
      </c>
      <c r="G3" s="67" t="n">
        <f aca="false">'15Distrib Centro de Custos'!H64</f>
        <v>15568383.0637617</v>
      </c>
      <c r="H3" s="67" t="n">
        <f aca="false">'15Distrib Centro de Custos'!I64</f>
        <v>17793733.9011105</v>
      </c>
      <c r="I3" s="67" t="n">
        <f aca="false">'15Distrib Centro de Custos'!J64</f>
        <v>19024559.5862388</v>
      </c>
      <c r="J3" s="67" t="n">
        <f aca="false">'15Distrib Centro de Custos'!K64</f>
        <v>17706991.5180303</v>
      </c>
      <c r="K3" s="67" t="n">
        <f aca="false">'15Distrib Centro de Custos'!L64</f>
        <v>18353841.8264786</v>
      </c>
      <c r="L3" s="67" t="n">
        <f aca="false">'15Distrib Centro de Custos'!M64</f>
        <v>18083978.599719</v>
      </c>
      <c r="M3" s="67" t="n">
        <f aca="false">'15Distrib Centro de Custos'!N64</f>
        <v>14523972.830335</v>
      </c>
      <c r="N3" s="67" t="n">
        <f aca="false">'15Distrib Centro de Custos'!O64</f>
        <v>14517474.2146376</v>
      </c>
      <c r="O3" s="67" t="n">
        <f aca="false">SUM(C3:N3)</f>
        <v>190964188.242524</v>
      </c>
    </row>
    <row r="4" customFormat="false" ht="15.75" hidden="false" customHeight="false" outlineLevel="0" collapsed="false">
      <c r="A4" s="102" t="n">
        <v>50610003</v>
      </c>
      <c r="B4" s="137" t="s">
        <v>210</v>
      </c>
      <c r="C4" s="67" t="n">
        <f aca="false">'15Distrib Centro de Custos'!D65</f>
        <v>4444323.58825237</v>
      </c>
      <c r="D4" s="67" t="n">
        <f aca="false">'15Distrib Centro de Custos'!E65</f>
        <v>4316800.71573578</v>
      </c>
      <c r="E4" s="67" t="n">
        <f aca="false">'15Distrib Centro de Custos'!F65</f>
        <v>4456901.4528351</v>
      </c>
      <c r="F4" s="67" t="n">
        <f aca="false">'15Distrib Centro de Custos'!G65</f>
        <v>4706057.59181724</v>
      </c>
      <c r="G4" s="67" t="n">
        <f aca="false">'15Distrib Centro de Custos'!H65</f>
        <v>4719144.49355765</v>
      </c>
      <c r="H4" s="67" t="n">
        <f aca="false">'15Distrib Centro de Custos'!I65</f>
        <v>4827252.41935295</v>
      </c>
      <c r="I4" s="67" t="n">
        <f aca="false">'15Distrib Centro de Custos'!J65</f>
        <v>5631078.45016826</v>
      </c>
      <c r="J4" s="67" t="n">
        <f aca="false">'15Distrib Centro de Custos'!K65</f>
        <v>5049344.40328895</v>
      </c>
      <c r="K4" s="67" t="n">
        <f aca="false">'15Distrib Centro de Custos'!L65</f>
        <v>5124921.76110868</v>
      </c>
      <c r="L4" s="67" t="n">
        <f aca="false">'15Distrib Centro de Custos'!M65</f>
        <v>5133702.77590304</v>
      </c>
      <c r="M4" s="67" t="n">
        <f aca="false">'15Distrib Centro de Custos'!N65</f>
        <v>4728334.44608048</v>
      </c>
      <c r="N4" s="67" t="n">
        <f aca="false">'15Distrib Centro de Custos'!O65</f>
        <v>4913785.77209657</v>
      </c>
      <c r="O4" s="67" t="n">
        <f aca="false">SUM(C4:N4)</f>
        <v>58051647.8701971</v>
      </c>
    </row>
    <row r="5" customFormat="false" ht="15.75" hidden="false" customHeight="false" outlineLevel="0" collapsed="false">
      <c r="A5" s="102" t="s">
        <v>211</v>
      </c>
      <c r="B5" s="137" t="s">
        <v>212</v>
      </c>
      <c r="C5" s="67" t="n">
        <f aca="false">'15Distrib Centro de Custos'!D66</f>
        <v>6048493.67384841</v>
      </c>
      <c r="D5" s="67" t="n">
        <f aca="false">'15Distrib Centro de Custos'!E66</f>
        <v>5530769.64734624</v>
      </c>
      <c r="E5" s="67" t="n">
        <f aca="false">'15Distrib Centro de Custos'!F66</f>
        <v>5568725.61809525</v>
      </c>
      <c r="F5" s="67" t="n">
        <f aca="false">'15Distrib Centro de Custos'!G66</f>
        <v>6219525.14075281</v>
      </c>
      <c r="G5" s="67" t="n">
        <f aca="false">'15Distrib Centro de Custos'!H66</f>
        <v>6209871.32022589</v>
      </c>
      <c r="H5" s="67" t="n">
        <f aca="false">'15Distrib Centro de Custos'!I66</f>
        <v>7075951.20289094</v>
      </c>
      <c r="I5" s="67" t="n">
        <f aca="false">'15Distrib Centro de Custos'!J66</f>
        <v>7993672.91509136</v>
      </c>
      <c r="J5" s="67" t="n">
        <f aca="false">'15Distrib Centro de Custos'!K66</f>
        <v>7188684.07699407</v>
      </c>
      <c r="K5" s="67" t="n">
        <f aca="false">'15Distrib Centro de Custos'!L66</f>
        <v>7415426.1477364</v>
      </c>
      <c r="L5" s="67" t="n">
        <f aca="false">'15Distrib Centro de Custos'!M66</f>
        <v>7299423.09995356</v>
      </c>
      <c r="M5" s="67" t="n">
        <f aca="false">'15Distrib Centro de Custos'!N66</f>
        <v>5971229.39956782</v>
      </c>
      <c r="N5" s="67" t="n">
        <f aca="false">'15Distrib Centro de Custos'!O66</f>
        <v>6031458.46656274</v>
      </c>
      <c r="O5" s="67" t="n">
        <f aca="false">SUM(C5:N5)</f>
        <v>78553230.7090655</v>
      </c>
    </row>
    <row r="6" customFormat="false" ht="15.75" hidden="false" customHeight="false" outlineLevel="0" collapsed="false">
      <c r="A6" s="102" t="n">
        <v>50610007</v>
      </c>
      <c r="B6" s="137" t="s">
        <v>233</v>
      </c>
      <c r="C6" s="96" t="n">
        <f aca="false">'12Encargos ESS EER - CALC'!C6</f>
        <v>1152969.06643819</v>
      </c>
      <c r="D6" s="96" t="n">
        <f aca="false">'12Encargos ESS EER - CALC'!D6</f>
        <v>1426554.70886334</v>
      </c>
      <c r="E6" s="96" t="n">
        <f aca="false">'12Encargos ESS EER - CALC'!E6</f>
        <v>1577533.84670176</v>
      </c>
      <c r="F6" s="96" t="n">
        <f aca="false">'12Encargos ESS EER - CALC'!F6</f>
        <v>1799304.0791668</v>
      </c>
      <c r="G6" s="96" t="n">
        <f aca="false">'12Encargos ESS EER - CALC'!G6</f>
        <v>1816934.26782458</v>
      </c>
      <c r="H6" s="96" t="n">
        <f aca="false">'12Encargos ESS EER - CALC'!H6</f>
        <v>1545255.76056682</v>
      </c>
      <c r="I6" s="96" t="n">
        <f aca="false">'12Encargos ESS EER - CALC'!I6</f>
        <v>1835553.67086852</v>
      </c>
      <c r="J6" s="96" t="n">
        <f aca="false">'12Encargos ESS EER - CALC'!J6</f>
        <v>1605047.78252211</v>
      </c>
      <c r="K6" s="96" t="n">
        <f aca="false">'12Encargos ESS EER - CALC'!K6</f>
        <v>1540890.59361617</v>
      </c>
      <c r="L6" s="96" t="n">
        <f aca="false">'12Encargos ESS EER - CALC'!L6</f>
        <v>1575340.03375113</v>
      </c>
      <c r="M6" s="96" t="n">
        <f aca="false">'12Encargos ESS EER - CALC'!M6</f>
        <v>1481293.09301673</v>
      </c>
      <c r="N6" s="96" t="n">
        <f aca="false">'12Encargos ESS EER - CALC'!N6</f>
        <v>1606611.13669114</v>
      </c>
      <c r="O6" s="67" t="n">
        <f aca="false">SUM(C6:N6)</f>
        <v>18963288.0400273</v>
      </c>
    </row>
    <row r="7" customFormat="false" ht="15.75" hidden="false" customHeight="false" outlineLevel="0" collapsed="false">
      <c r="A7" s="102" t="n">
        <v>50610008</v>
      </c>
      <c r="B7" s="137" t="s">
        <v>234</v>
      </c>
      <c r="C7" s="96" t="n">
        <f aca="false">'12Encargos ESS EER - CALC'!C8</f>
        <v>239031.343680813</v>
      </c>
      <c r="D7" s="96" t="n">
        <f aca="false">'12Encargos ESS EER - CALC'!D8</f>
        <v>16706.8424746873</v>
      </c>
      <c r="E7" s="96" t="n">
        <f aca="false">'12Encargos ESS EER - CALC'!E8</f>
        <v>122025.507623945</v>
      </c>
      <c r="F7" s="96" t="n">
        <f aca="false">'12Encargos ESS EER - CALC'!F8</f>
        <v>60221.0438416375</v>
      </c>
      <c r="G7" s="96" t="n">
        <f aca="false">'12Encargos ESS EER - CALC'!G8</f>
        <v>31621.8432707276</v>
      </c>
      <c r="H7" s="96" t="n">
        <f aca="false">'12Encargos ESS EER - CALC'!H8</f>
        <v>90050.5595638041</v>
      </c>
      <c r="I7" s="96" t="n">
        <f aca="false">'12Encargos ESS EER - CALC'!I8</f>
        <v>443445.855500753</v>
      </c>
      <c r="J7" s="96" t="n">
        <f aca="false">'12Encargos ESS EER - CALC'!J8</f>
        <v>748393.250041184</v>
      </c>
      <c r="K7" s="96" t="n">
        <f aca="false">'12Encargos ESS EER - CALC'!K8</f>
        <v>776219.023017655</v>
      </c>
      <c r="L7" s="96" t="n">
        <f aca="false">'12Encargos ESS EER - CALC'!L8</f>
        <v>369427.786396401</v>
      </c>
      <c r="M7" s="96" t="n">
        <f aca="false">'12Encargos ESS EER - CALC'!M8</f>
        <v>456098.918590802</v>
      </c>
      <c r="N7" s="96" t="n">
        <f aca="false">'12Encargos ESS EER - CALC'!N8</f>
        <v>178790.933226814</v>
      </c>
      <c r="O7" s="67" t="n">
        <f aca="false">SUM(C7:N7)</f>
        <v>3532032.90722922</v>
      </c>
    </row>
    <row r="8" customFormat="false" ht="15.75" hidden="false" customHeight="false" outlineLevel="0" collapsed="false">
      <c r="A8" s="102" t="s">
        <v>235</v>
      </c>
      <c r="B8" s="137" t="s">
        <v>236</v>
      </c>
      <c r="C8" s="138" t="n">
        <v>241214.438110908</v>
      </c>
      <c r="D8" s="138" t="n">
        <v>368746.254946268</v>
      </c>
      <c r="E8" s="138" t="n">
        <v>391217.355595486</v>
      </c>
      <c r="F8" s="138" t="n">
        <v>336157.108917813</v>
      </c>
      <c r="G8" s="138" t="n">
        <v>347984.38699056</v>
      </c>
      <c r="H8" s="138" t="n">
        <v>264024.711657817</v>
      </c>
      <c r="I8" s="138" t="n">
        <v>238093.510726971</v>
      </c>
      <c r="J8" s="138" t="n">
        <v>174321.067428341</v>
      </c>
      <c r="K8" s="138" t="n">
        <v>151424.985296812</v>
      </c>
      <c r="L8" s="138" t="n">
        <v>141787.801903991</v>
      </c>
      <c r="M8" s="138" t="n">
        <v>138058.492899658</v>
      </c>
      <c r="N8" s="138" t="n">
        <v>179222.385820984</v>
      </c>
      <c r="O8" s="67" t="n">
        <f aca="false">SUM(C8:N8)</f>
        <v>2972252.50029561</v>
      </c>
    </row>
    <row r="9" customFormat="false" ht="15.75" hidden="false" customHeight="false" outlineLevel="0" collapsed="false">
      <c r="A9" s="102" t="n">
        <v>50620003</v>
      </c>
      <c r="B9" s="137" t="s">
        <v>237</v>
      </c>
      <c r="C9" s="138" t="n">
        <v>665774.26</v>
      </c>
      <c r="D9" s="138" t="n">
        <v>665774.26</v>
      </c>
      <c r="E9" s="138" t="n">
        <v>665774.26</v>
      </c>
      <c r="F9" s="138" t="n">
        <v>665774.26</v>
      </c>
      <c r="G9" s="138" t="n">
        <v>665774.26</v>
      </c>
      <c r="H9" s="138" t="n">
        <v>665774.26</v>
      </c>
      <c r="I9" s="138" t="n">
        <v>719482.69</v>
      </c>
      <c r="J9" s="138" t="n">
        <v>719482.69</v>
      </c>
      <c r="K9" s="138" t="n">
        <v>719482.69</v>
      </c>
      <c r="L9" s="138" t="n">
        <v>719482.69</v>
      </c>
      <c r="M9" s="138" t="n">
        <v>719482.69</v>
      </c>
      <c r="N9" s="138" t="n">
        <v>719482.69</v>
      </c>
      <c r="O9" s="67" t="n">
        <f aca="false">SUM(C9:N9)</f>
        <v>8311541.7</v>
      </c>
    </row>
    <row r="10" customFormat="false" ht="15.75" hidden="false" customHeight="false" outlineLevel="0" collapsed="false">
      <c r="A10" s="102" t="n">
        <v>50620004</v>
      </c>
      <c r="B10" s="137" t="s">
        <v>238</v>
      </c>
      <c r="C10" s="138" t="n">
        <v>1178695.89</v>
      </c>
      <c r="D10" s="138" t="n">
        <v>1226507.16</v>
      </c>
      <c r="E10" s="138" t="n">
        <v>1371448</v>
      </c>
      <c r="F10" s="138" t="n">
        <v>1491723.94</v>
      </c>
      <c r="G10" s="138" t="n">
        <v>1540771.14</v>
      </c>
      <c r="H10" s="138" t="n">
        <v>1674148.62</v>
      </c>
      <c r="I10" s="138" t="n">
        <v>1521470.84</v>
      </c>
      <c r="J10" s="138" t="n">
        <v>1806129.92</v>
      </c>
      <c r="K10" s="138" t="n">
        <v>1755558.99</v>
      </c>
      <c r="L10" s="138" t="n">
        <v>1710922.73</v>
      </c>
      <c r="M10" s="138" t="n">
        <v>1330109.71</v>
      </c>
      <c r="N10" s="138" t="n">
        <v>1234823.8</v>
      </c>
      <c r="O10" s="67" t="n">
        <f aca="false">SUM(C10:N10)</f>
        <v>17842310.74</v>
      </c>
    </row>
    <row r="11" customFormat="false" ht="15.75" hidden="false" customHeight="false" outlineLevel="0" collapsed="false">
      <c r="A11" s="102" t="n">
        <v>50620099</v>
      </c>
      <c r="B11" s="137" t="s">
        <v>239</v>
      </c>
      <c r="C11" s="138" t="n">
        <v>203645.692887151</v>
      </c>
      <c r="D11" s="138" t="n">
        <v>203645.692887151</v>
      </c>
      <c r="E11" s="138" t="n">
        <v>203645.692887151</v>
      </c>
      <c r="F11" s="138" t="n">
        <v>203645.692887151</v>
      </c>
      <c r="G11" s="138" t="n">
        <v>203645.692887151</v>
      </c>
      <c r="H11" s="138" t="n">
        <v>203645.692887151</v>
      </c>
      <c r="I11" s="138" t="n">
        <v>203645.692887151</v>
      </c>
      <c r="J11" s="138" t="n">
        <v>203645.692887151</v>
      </c>
      <c r="K11" s="138" t="n">
        <v>203645.692887151</v>
      </c>
      <c r="L11" s="138" t="n">
        <v>203645.692887151</v>
      </c>
      <c r="M11" s="138" t="n">
        <v>203645.692887151</v>
      </c>
      <c r="N11" s="138" t="n">
        <v>203645.692887151</v>
      </c>
      <c r="O11" s="67" t="n">
        <f aca="false">SUM(C11:N11)</f>
        <v>2443748.31464581</v>
      </c>
    </row>
    <row r="12" customFormat="false" ht="15.75" hidden="false" customHeight="false" outlineLevel="0" collapsed="false">
      <c r="A12" s="102" t="n">
        <v>50630001</v>
      </c>
      <c r="B12" s="137" t="s">
        <v>240</v>
      </c>
      <c r="C12" s="138" t="n">
        <v>334059.96</v>
      </c>
      <c r="D12" s="138" t="n">
        <v>334059.96</v>
      </c>
      <c r="E12" s="138" t="n">
        <v>334059.96</v>
      </c>
      <c r="F12" s="138" t="n">
        <v>454060</v>
      </c>
      <c r="G12" s="138" t="n">
        <v>414060</v>
      </c>
      <c r="H12" s="138" t="n">
        <v>414060</v>
      </c>
      <c r="I12" s="138" t="n">
        <v>334059.96</v>
      </c>
      <c r="J12" s="138" t="n">
        <v>334059.96</v>
      </c>
      <c r="K12" s="138" t="n">
        <v>334059.96</v>
      </c>
      <c r="L12" s="138" t="n">
        <v>334059.96</v>
      </c>
      <c r="M12" s="138" t="n">
        <v>334059.96</v>
      </c>
      <c r="N12" s="138" t="n">
        <v>334059.96</v>
      </c>
      <c r="O12" s="67" t="n">
        <f aca="false">SUM(C12:N12)</f>
        <v>4288719.64</v>
      </c>
    </row>
    <row r="13" customFormat="false" ht="15.75" hidden="false" customHeight="false" outlineLevel="0" collapsed="false">
      <c r="A13" s="102" t="n">
        <v>50630099</v>
      </c>
      <c r="B13" s="137" t="s">
        <v>241</v>
      </c>
      <c r="C13" s="138" t="n">
        <v>25000</v>
      </c>
      <c r="D13" s="138" t="n">
        <v>25000</v>
      </c>
      <c r="E13" s="138" t="n">
        <v>25000</v>
      </c>
      <c r="F13" s="138" t="n">
        <v>25000</v>
      </c>
      <c r="G13" s="138" t="n">
        <v>25000</v>
      </c>
      <c r="H13" s="138" t="n">
        <v>25000</v>
      </c>
      <c r="I13" s="138" t="n">
        <v>25000</v>
      </c>
      <c r="J13" s="138" t="n">
        <v>25000</v>
      </c>
      <c r="K13" s="138" t="n">
        <v>25000</v>
      </c>
      <c r="L13" s="138" t="n">
        <v>25000</v>
      </c>
      <c r="M13" s="138" t="n">
        <v>25000</v>
      </c>
      <c r="N13" s="138" t="n">
        <v>25000</v>
      </c>
      <c r="O13" s="67" t="n">
        <f aca="false">SUM(C13:N13)</f>
        <v>300000</v>
      </c>
    </row>
    <row r="14" customFormat="false" ht="15.75" hidden="false" customHeight="false" outlineLevel="0" collapsed="false">
      <c r="A14" s="102" t="n">
        <v>50610005</v>
      </c>
      <c r="B14" s="137" t="s">
        <v>242</v>
      </c>
      <c r="C14" s="138" t="n">
        <v>108333</v>
      </c>
      <c r="D14" s="138" t="n">
        <f aca="false">C14</f>
        <v>108333</v>
      </c>
      <c r="E14" s="138" t="n">
        <f aca="false">D14</f>
        <v>108333</v>
      </c>
      <c r="F14" s="138" t="n">
        <f aca="false">E14</f>
        <v>108333</v>
      </c>
      <c r="G14" s="138" t="n">
        <f aca="false">F14</f>
        <v>108333</v>
      </c>
      <c r="H14" s="138" t="n">
        <f aca="false">G14</f>
        <v>108333</v>
      </c>
      <c r="I14" s="138" t="n">
        <f aca="false">H14</f>
        <v>108333</v>
      </c>
      <c r="J14" s="138" t="n">
        <f aca="false">I14</f>
        <v>108333</v>
      </c>
      <c r="K14" s="138" t="n">
        <f aca="false">J14</f>
        <v>108333</v>
      </c>
      <c r="L14" s="138" t="n">
        <f aca="false">K14</f>
        <v>108333</v>
      </c>
      <c r="M14" s="138" t="n">
        <f aca="false">L14</f>
        <v>108333</v>
      </c>
      <c r="N14" s="138" t="n">
        <f aca="false">M14</f>
        <v>108333</v>
      </c>
      <c r="O14" s="67" t="n">
        <f aca="false">SUM(C14:N14)</f>
        <v>1299996</v>
      </c>
    </row>
    <row r="15" customFormat="false" ht="15.75" hidden="false" customHeight="false" outlineLevel="0" collapsed="false">
      <c r="A15" s="102" t="n">
        <v>50610099</v>
      </c>
      <c r="B15" s="137" t="s">
        <v>243</v>
      </c>
      <c r="C15" s="138" t="n">
        <v>772738.24</v>
      </c>
      <c r="D15" s="138" t="n">
        <v>235785.28</v>
      </c>
      <c r="E15" s="138" t="n">
        <v>235785.28</v>
      </c>
      <c r="F15" s="138" t="n">
        <v>235785.28</v>
      </c>
      <c r="G15" s="138" t="n">
        <v>331560.28</v>
      </c>
      <c r="H15" s="138" t="n">
        <v>331560.28</v>
      </c>
      <c r="I15" s="138" t="n">
        <v>331560.28</v>
      </c>
      <c r="J15" s="138" t="n">
        <v>331560.28</v>
      </c>
      <c r="K15" s="138" t="n">
        <v>331560.28</v>
      </c>
      <c r="L15" s="138" t="n">
        <f aca="false">331560.28+380000</f>
        <v>711560.28</v>
      </c>
      <c r="M15" s="138" t="n">
        <v>331560.28</v>
      </c>
      <c r="N15" s="138" t="n">
        <v>331560.28</v>
      </c>
      <c r="O15" s="67" t="n">
        <f aca="false">SUM(C15:N15)</f>
        <v>4512576.32</v>
      </c>
    </row>
    <row r="16" customFormat="false" ht="15.75" hidden="false" customHeight="false" outlineLevel="0" collapsed="false">
      <c r="A16" s="137" t="s">
        <v>244</v>
      </c>
      <c r="B16" s="137"/>
      <c r="C16" s="67" t="n">
        <f aca="false">SUM(C3:C15)</f>
        <v>28665952.0288249</v>
      </c>
      <c r="D16" s="67" t="n">
        <f aca="false">SUM(D3:D15)</f>
        <v>27685773.8174179</v>
      </c>
      <c r="E16" s="67" t="n">
        <f aca="false">SUM(E3:E15)</f>
        <v>28475944.6504205</v>
      </c>
      <c r="F16" s="67" t="n">
        <f aca="false">SUM(F3:F15)</f>
        <v>31802581.9921423</v>
      </c>
      <c r="G16" s="67" t="n">
        <f aca="false">SUM(G3:G15)</f>
        <v>31983083.7485183</v>
      </c>
      <c r="H16" s="67" t="n">
        <f aca="false">SUM(H3:H15)</f>
        <v>35018790.40803</v>
      </c>
      <c r="I16" s="67" t="n">
        <f aca="false">SUM(I3:I15)</f>
        <v>38409956.4514818</v>
      </c>
      <c r="J16" s="67" t="n">
        <f aca="false">SUM(J3:J15)</f>
        <v>36000993.6411921</v>
      </c>
      <c r="K16" s="67" t="n">
        <f aca="false">SUM(K3:K15)</f>
        <v>36840364.9501415</v>
      </c>
      <c r="L16" s="67" t="n">
        <f aca="false">SUM(L3:L15)</f>
        <v>36416664.4505143</v>
      </c>
      <c r="M16" s="67" t="n">
        <f aca="false">SUM(M3:M15)</f>
        <v>30351178.5133776</v>
      </c>
      <c r="N16" s="67" t="n">
        <f aca="false">SUM(N3:N15)</f>
        <v>30384248.331923</v>
      </c>
      <c r="O16" s="67" t="n">
        <f aca="false">SUM(C16:N16)</f>
        <v>392035532.983984</v>
      </c>
    </row>
    <row r="18" customFormat="false" ht="15.75" hidden="false" customHeight="false" outlineLevel="0" collapsed="false">
      <c r="A18" s="132" t="s">
        <v>245</v>
      </c>
      <c r="B18" s="132"/>
      <c r="C18" s="132"/>
      <c r="D18" s="132"/>
      <c r="E18" s="132"/>
      <c r="F18" s="132"/>
      <c r="G18" s="132"/>
      <c r="H18" s="132"/>
      <c r="I18" s="132"/>
      <c r="J18" s="132"/>
      <c r="K18" s="132"/>
      <c r="L18" s="132"/>
      <c r="M18" s="132"/>
      <c r="N18" s="132"/>
      <c r="O18" s="132"/>
    </row>
    <row r="19" customFormat="false" ht="15.75" hidden="false" customHeight="false" outlineLevel="0" collapsed="false">
      <c r="A19" s="12" t="s">
        <v>246</v>
      </c>
      <c r="B19" s="12" t="s">
        <v>59</v>
      </c>
      <c r="C19" s="77" t="s">
        <v>76</v>
      </c>
      <c r="D19" s="55" t="s">
        <v>77</v>
      </c>
      <c r="E19" s="55" t="s">
        <v>78</v>
      </c>
      <c r="F19" s="55" t="s">
        <v>79</v>
      </c>
      <c r="G19" s="55" t="s">
        <v>80</v>
      </c>
      <c r="H19" s="55" t="s">
        <v>81</v>
      </c>
      <c r="I19" s="55" t="s">
        <v>82</v>
      </c>
      <c r="J19" s="55" t="s">
        <v>83</v>
      </c>
      <c r="K19" s="55" t="s">
        <v>84</v>
      </c>
      <c r="L19" s="55" t="s">
        <v>85</v>
      </c>
      <c r="M19" s="55" t="s">
        <v>86</v>
      </c>
      <c r="N19" s="55" t="s">
        <v>87</v>
      </c>
      <c r="O19" s="55" t="s">
        <v>232</v>
      </c>
    </row>
    <row r="20" customFormat="false" ht="15.75" hidden="false" customHeight="false" outlineLevel="0" collapsed="false">
      <c r="A20" s="12" t="s">
        <v>247</v>
      </c>
      <c r="B20" s="12" t="s">
        <v>248</v>
      </c>
      <c r="C20" s="67" t="n">
        <f aca="false">SUM('4Produção - OCULTA'!B12:B15)</f>
        <v>1067228.43762863</v>
      </c>
      <c r="D20" s="67" t="n">
        <f aca="false">SUM('4Produção - OCULTA'!C12:C15)</f>
        <v>1008651.04231672</v>
      </c>
      <c r="E20" s="67" t="n">
        <f aca="false">SUM('4Produção - OCULTA'!D12:D15)</f>
        <v>1063894.70417306</v>
      </c>
      <c r="F20" s="67" t="n">
        <f aca="false">SUM('4Produção - OCULTA'!E12:E15)</f>
        <v>1173583.91532574</v>
      </c>
      <c r="G20" s="67" t="n">
        <f aca="false">SUM('4Produção - OCULTA'!F12:F15)</f>
        <v>1164892.21085052</v>
      </c>
      <c r="H20" s="67" t="n">
        <f aca="false">SUM('4Produção - OCULTA'!G12:G15)</f>
        <v>1220462.55468809</v>
      </c>
      <c r="I20" s="67" t="n">
        <f aca="false">SUM('4Produção - OCULTA'!H12:H15)</f>
        <v>1260424.84763967</v>
      </c>
      <c r="J20" s="67" t="n">
        <f aca="false">SUM('4Produção - OCULTA'!I12:I15)</f>
        <v>1163640.29415534</v>
      </c>
      <c r="K20" s="67" t="n">
        <f aca="false">SUM('4Produção - OCULTA'!J12:J15)</f>
        <v>1198994.67701449</v>
      </c>
      <c r="L20" s="67" t="n">
        <f aca="false">SUM('4Produção - OCULTA'!K12:K15)</f>
        <v>1205892.31051532</v>
      </c>
      <c r="M20" s="67" t="n">
        <f aca="false">SUM('4Produção - OCULTA'!L12:L15)</f>
        <v>1037148.1390065</v>
      </c>
      <c r="N20" s="67" t="n">
        <f aca="false">SUM('4Produção - OCULTA'!M12:M15)</f>
        <v>1117289.70327497</v>
      </c>
      <c r="O20" s="67" t="n">
        <f aca="false">SUM(C20:N20)</f>
        <v>13682102.836589</v>
      </c>
    </row>
    <row r="21" customFormat="false" ht="15.75" hidden="false" customHeight="false" outlineLevel="0" collapsed="false">
      <c r="A21" s="12" t="s">
        <v>116</v>
      </c>
      <c r="B21" s="12" t="s">
        <v>248</v>
      </c>
      <c r="C21" s="67" t="n">
        <f aca="false">'4Produção - OCULTA'!B18</f>
        <v>385926.883</v>
      </c>
      <c r="D21" s="67" t="n">
        <f aca="false">'4Produção - OCULTA'!C18</f>
        <v>385926.883</v>
      </c>
      <c r="E21" s="67" t="n">
        <f aca="false">'4Produção - OCULTA'!D18</f>
        <v>385926.883</v>
      </c>
      <c r="F21" s="67" t="n">
        <f aca="false">'4Produção - OCULTA'!E18</f>
        <v>385926.883</v>
      </c>
      <c r="G21" s="67" t="n">
        <f aca="false">'4Produção - OCULTA'!F18</f>
        <v>385926.883</v>
      </c>
      <c r="H21" s="67" t="n">
        <f aca="false">'4Produção - OCULTA'!G18</f>
        <v>385926.883</v>
      </c>
      <c r="I21" s="67" t="n">
        <f aca="false">'4Produção - OCULTA'!H18</f>
        <v>385926.883</v>
      </c>
      <c r="J21" s="67" t="n">
        <f aca="false">'4Produção - OCULTA'!I18</f>
        <v>385926.883</v>
      </c>
      <c r="K21" s="67" t="n">
        <f aca="false">'4Produção - OCULTA'!J18</f>
        <v>385926.883</v>
      </c>
      <c r="L21" s="67" t="n">
        <f aca="false">'4Produção - OCULTA'!K18</f>
        <v>385926.883</v>
      </c>
      <c r="M21" s="67" t="n">
        <f aca="false">'4Produção - OCULTA'!L18</f>
        <v>385926.883</v>
      </c>
      <c r="N21" s="67" t="n">
        <f aca="false">'4Produção - OCULTA'!M18</f>
        <v>385926.883</v>
      </c>
      <c r="O21" s="67" t="n">
        <f aca="false">SUM(C21:N21)</f>
        <v>4631122.596</v>
      </c>
    </row>
    <row r="22" customFormat="false" ht="15.75" hidden="false" customHeight="false" outlineLevel="0" collapsed="false">
      <c r="A22" s="12" t="s">
        <v>249</v>
      </c>
      <c r="B22" s="12" t="s">
        <v>248</v>
      </c>
      <c r="C22" s="67" t="n">
        <f aca="false">'4Produção - OCULTA'!B17</f>
        <v>143855.055938658</v>
      </c>
      <c r="D22" s="67" t="n">
        <f aca="false">'4Produção - OCULTA'!C17</f>
        <v>174652.85938085</v>
      </c>
      <c r="E22" s="67" t="n">
        <f aca="false">'4Produção - OCULTA'!D17</f>
        <v>143825.052337558</v>
      </c>
      <c r="F22" s="67" t="n">
        <f aca="false">'4Produção - OCULTA'!E17</f>
        <v>144812.255237932</v>
      </c>
      <c r="G22" s="67" t="n">
        <f aca="false">'4Produção - OCULTA'!F17</f>
        <v>193959.029897655</v>
      </c>
      <c r="H22" s="67" t="n">
        <f aca="false">'4Produção - OCULTA'!G17</f>
        <v>145234.162992193</v>
      </c>
      <c r="I22" s="67" t="n">
        <f aca="false">'4Produção - OCULTA'!H17</f>
        <v>145593.823628757</v>
      </c>
      <c r="J22" s="67" t="n">
        <f aca="false">'4Produção - OCULTA'!I17</f>
        <v>176047.762647398</v>
      </c>
      <c r="K22" s="67" t="n">
        <f aca="false">'4Produção - OCULTA'!J17</f>
        <v>162940.95209313</v>
      </c>
      <c r="L22" s="67" t="n">
        <f aca="false">'4Produção - OCULTA'!K17</f>
        <v>145103.030794638</v>
      </c>
      <c r="M22" s="67" t="n">
        <f aca="false">'4Produção - OCULTA'!L17</f>
        <v>174909.333251059</v>
      </c>
      <c r="N22" s="67" t="n">
        <f aca="false">'4Produção - OCULTA'!M17</f>
        <v>144305.607329475</v>
      </c>
      <c r="O22" s="67" t="n">
        <f aca="false">SUM(C22:N22)</f>
        <v>1895238.9255293</v>
      </c>
    </row>
    <row r="23" customFormat="false" ht="15.75" hidden="false" customHeight="false" outlineLevel="0" collapsed="false">
      <c r="A23" s="139" t="s">
        <v>186</v>
      </c>
      <c r="B23" s="139"/>
      <c r="C23" s="140" t="n">
        <f aca="false">SUM(C20:C22)</f>
        <v>1597010.37656729</v>
      </c>
      <c r="D23" s="140" t="n">
        <f aca="false">SUM(D20:D22)</f>
        <v>1569230.78469757</v>
      </c>
      <c r="E23" s="140" t="n">
        <f aca="false">SUM(E20:E22)</f>
        <v>1593646.63951061</v>
      </c>
      <c r="F23" s="140" t="n">
        <f aca="false">SUM(F20:F22)</f>
        <v>1704323.05356367</v>
      </c>
      <c r="G23" s="140" t="n">
        <f aca="false">SUM(G20:G22)</f>
        <v>1744778.12374817</v>
      </c>
      <c r="H23" s="140" t="n">
        <f aca="false">SUM(H20:H22)</f>
        <v>1751623.60068028</v>
      </c>
      <c r="I23" s="140" t="n">
        <f aca="false">SUM(I20:I22)</f>
        <v>1791945.55426843</v>
      </c>
      <c r="J23" s="140" t="n">
        <f aca="false">SUM(J20:J22)</f>
        <v>1725614.93980274</v>
      </c>
      <c r="K23" s="140" t="n">
        <f aca="false">SUM(K20:K22)</f>
        <v>1747862.51210762</v>
      </c>
      <c r="L23" s="140" t="n">
        <f aca="false">SUM(L20:L22)</f>
        <v>1736922.22430996</v>
      </c>
      <c r="M23" s="140" t="n">
        <f aca="false">SUM(M20:M22)</f>
        <v>1597984.35525756</v>
      </c>
      <c r="N23" s="140" t="n">
        <f aca="false">SUM(N20:N22)</f>
        <v>1647522.19360445</v>
      </c>
      <c r="O23" s="140" t="n">
        <f aca="false">SUM(C23:N23)</f>
        <v>20208464.3581183</v>
      </c>
    </row>
    <row r="24" customFormat="false" ht="15.75" hidden="false" customHeight="false" outlineLevel="0" collapsed="false">
      <c r="A24" s="139" t="s">
        <v>250</v>
      </c>
      <c r="B24" s="139"/>
      <c r="C24" s="18" t="n">
        <f aca="false">C16/C23</f>
        <v>17.9497594063486</v>
      </c>
      <c r="D24" s="18" t="n">
        <f aca="false">D16/D23</f>
        <v>17.6428949058336</v>
      </c>
      <c r="E24" s="18" t="n">
        <f aca="false">E16/E23</f>
        <v>17.8684182204689</v>
      </c>
      <c r="F24" s="18" t="n">
        <f aca="false">F16/F23</f>
        <v>18.6599494301532</v>
      </c>
      <c r="G24" s="18" t="n">
        <f aca="false">G16/G23</f>
        <v>18.3307455046556</v>
      </c>
      <c r="H24" s="18" t="n">
        <f aca="false">H16/H23</f>
        <v>19.9921891863239</v>
      </c>
      <c r="I24" s="18" t="n">
        <f aca="false">I16/I23</f>
        <v>21.4347787297382</v>
      </c>
      <c r="J24" s="18" t="n">
        <f aca="false">J16/J23</f>
        <v>20.8627039618164</v>
      </c>
      <c r="K24" s="18" t="n">
        <f aca="false">K16/K23</f>
        <v>21.0773814844959</v>
      </c>
      <c r="L24" s="18" t="n">
        <f aca="false">L16/L23</f>
        <v>20.9662032881074</v>
      </c>
      <c r="M24" s="18" t="n">
        <f aca="false">M16/M23</f>
        <v>18.9934140553495</v>
      </c>
      <c r="N24" s="18" t="n">
        <f aca="false">N16/N23</f>
        <v>18.4423909127733</v>
      </c>
      <c r="O24" s="18" t="n">
        <f aca="false">O16/O23</f>
        <v>19.3995706965479</v>
      </c>
    </row>
    <row r="26" customFormat="false" ht="15.75" hidden="false" customHeight="false" outlineLevel="0" collapsed="false">
      <c r="A26" s="77"/>
      <c r="B26" s="77"/>
      <c r="C26" s="77" t="s">
        <v>76</v>
      </c>
      <c r="D26" s="55" t="s">
        <v>77</v>
      </c>
      <c r="E26" s="55" t="s">
        <v>78</v>
      </c>
      <c r="F26" s="55" t="s">
        <v>79</v>
      </c>
      <c r="G26" s="55" t="s">
        <v>80</v>
      </c>
      <c r="H26" s="55" t="s">
        <v>81</v>
      </c>
      <c r="I26" s="55" t="s">
        <v>82</v>
      </c>
      <c r="J26" s="55" t="s">
        <v>83</v>
      </c>
      <c r="K26" s="55" t="s">
        <v>84</v>
      </c>
      <c r="L26" s="55" t="s">
        <v>85</v>
      </c>
      <c r="M26" s="55" t="s">
        <v>86</v>
      </c>
      <c r="N26" s="55" t="s">
        <v>87</v>
      </c>
      <c r="O26" s="55" t="s">
        <v>232</v>
      </c>
    </row>
    <row r="27" customFormat="false" ht="15.75" hidden="false" customHeight="false" outlineLevel="0" collapsed="false">
      <c r="A27" s="141" t="s">
        <v>251</v>
      </c>
      <c r="B27" s="142" t="s">
        <v>180</v>
      </c>
      <c r="C27" s="67" t="n">
        <f aca="false">C4+C8+C9+C10+C11+C12+C13+C14+C15</f>
        <v>7973785.06925043</v>
      </c>
      <c r="D27" s="67" t="n">
        <f aca="false">D4+D8+D9+D10+D11+D12+D13+D14+D15</f>
        <v>7484652.3235692</v>
      </c>
      <c r="E27" s="67" t="n">
        <f aca="false">E4+E8+E9+E10+E11+E12+E13+E14+E15</f>
        <v>7792165.00131774</v>
      </c>
      <c r="F27" s="67" t="n">
        <f aca="false">F4+F8+F9+F10+F11+F12+F13+F14+F15</f>
        <v>8226536.87362221</v>
      </c>
      <c r="G27" s="67" t="n">
        <f aca="false">G4+G8+G9+G10+G11+G12+G13+G14+G15</f>
        <v>8356273.25343536</v>
      </c>
      <c r="H27" s="67" t="n">
        <f aca="false">H4+H8+H9+H10+H11+H12+H13+H14+H15</f>
        <v>8513798.98389792</v>
      </c>
      <c r="I27" s="67" t="n">
        <f aca="false">I4+I8+I9+I10+I11+I12+I13+I14+I15</f>
        <v>9112724.42378238</v>
      </c>
      <c r="J27" s="67" t="n">
        <f aca="false">J4+J8+J9+J10+J11+J12+J13+J14+J15</f>
        <v>8751877.01360444</v>
      </c>
      <c r="K27" s="67" t="n">
        <f aca="false">K4+K8+K9+K10+K11+K12+K13+K14+K15</f>
        <v>8753987.35929265</v>
      </c>
      <c r="L27" s="67" t="n">
        <f aca="false">L4+L8+L9+L10+L11+L12+L13+L14+L15</f>
        <v>9088494.93069419</v>
      </c>
      <c r="M27" s="67" t="n">
        <f aca="false">M4+M8+M9+M10+M11+M12+M13+M14+M15</f>
        <v>7918584.27186729</v>
      </c>
      <c r="N27" s="67" t="n">
        <f aca="false">N4+N8+N9+N10+N11+N12+N13+N14+N15</f>
        <v>8049913.58080471</v>
      </c>
      <c r="O27" s="67" t="n">
        <f aca="false">SUM(C27:N27)</f>
        <v>100022793.085138</v>
      </c>
    </row>
    <row r="28" customFormat="false" ht="15.75" hidden="false" customHeight="false" outlineLevel="0" collapsed="false">
      <c r="A28" s="141"/>
      <c r="B28" s="142" t="s">
        <v>252</v>
      </c>
      <c r="C28" s="18" t="n">
        <f aca="false">C27/C23</f>
        <v>4.99294505924863</v>
      </c>
      <c r="D28" s="18" t="n">
        <f aca="false">D27/D23</f>
        <v>4.76963133565577</v>
      </c>
      <c r="E28" s="18" t="n">
        <f aca="false">E27/E23</f>
        <v>4.88951867253998</v>
      </c>
      <c r="F28" s="18" t="n">
        <f aca="false">F27/F23</f>
        <v>4.82686475220813</v>
      </c>
      <c r="G28" s="18" t="n">
        <f aca="false">G27/G23</f>
        <v>4.78930423284092</v>
      </c>
      <c r="H28" s="18" t="n">
        <f aca="false">H27/H23</f>
        <v>4.86051853868114</v>
      </c>
      <c r="I28" s="18" t="n">
        <f aca="false">I27/I23</f>
        <v>5.08538019030534</v>
      </c>
      <c r="J28" s="18" t="n">
        <f aca="false">J27/J23</f>
        <v>5.07174388198385</v>
      </c>
      <c r="K28" s="18" t="n">
        <f aca="false">K27/K23</f>
        <v>5.00839585416639</v>
      </c>
      <c r="L28" s="18" t="n">
        <f aca="false">L27/L23</f>
        <v>5.23252843650201</v>
      </c>
      <c r="M28" s="18" t="n">
        <f aca="false">M27/M23</f>
        <v>4.95535782050318</v>
      </c>
      <c r="N28" s="18" t="n">
        <f aca="false">N27/N23</f>
        <v>4.8860729233596</v>
      </c>
      <c r="O28" s="143" t="n">
        <f aca="false">O27/O23</f>
        <v>4.94954942209433</v>
      </c>
    </row>
    <row r="29" customFormat="false" ht="15.75" hidden="false" customHeight="false" outlineLevel="0" collapsed="false">
      <c r="A29" s="141" t="s">
        <v>253</v>
      </c>
      <c r="B29" s="142" t="s">
        <v>180</v>
      </c>
      <c r="C29" s="67" t="n">
        <f aca="false">C3+C5+C6+C7</f>
        <v>20692166.9595745</v>
      </c>
      <c r="D29" s="67" t="n">
        <f aca="false">D3+D5+D6+D7</f>
        <v>20201121.4938487</v>
      </c>
      <c r="E29" s="67" t="n">
        <f aca="false">E3+E5+E6+E7</f>
        <v>20683779.6491028</v>
      </c>
      <c r="F29" s="67" t="n">
        <f aca="false">F3+F5+F6+F7</f>
        <v>23576045.1185201</v>
      </c>
      <c r="G29" s="67" t="n">
        <f aca="false">G3+G5+G6+G7</f>
        <v>23626810.4950829</v>
      </c>
      <c r="H29" s="67" t="n">
        <f aca="false">H3+H5+H6+H7</f>
        <v>26504991.4241321</v>
      </c>
      <c r="I29" s="67" t="n">
        <f aca="false">I3+I5+I6+I7</f>
        <v>29297232.0276994</v>
      </c>
      <c r="J29" s="67" t="n">
        <f aca="false">J3+J5+J6+J7</f>
        <v>27249116.6275876</v>
      </c>
      <c r="K29" s="67" t="n">
        <f aca="false">K3+K5+K6+K7</f>
        <v>28086377.5908489</v>
      </c>
      <c r="L29" s="67" t="n">
        <f aca="false">L3+L5+L6+L7</f>
        <v>27328169.5198201</v>
      </c>
      <c r="M29" s="67" t="n">
        <f aca="false">M3+M5+M6+M7</f>
        <v>22432594.2415103</v>
      </c>
      <c r="N29" s="67" t="n">
        <f aca="false">N3+N5+N6+N7</f>
        <v>22334334.7511183</v>
      </c>
      <c r="O29" s="67" t="n">
        <f aca="false">SUM(C29:N29)</f>
        <v>292012739.898846</v>
      </c>
    </row>
    <row r="30" customFormat="false" ht="15.75" hidden="false" customHeight="false" outlineLevel="0" collapsed="false">
      <c r="A30" s="141"/>
      <c r="B30" s="142" t="s">
        <v>252</v>
      </c>
      <c r="C30" s="18" t="n">
        <f aca="false">C29/C23</f>
        <v>12.9568143470999</v>
      </c>
      <c r="D30" s="18" t="n">
        <f aca="false">D29/D23</f>
        <v>12.8732635701778</v>
      </c>
      <c r="E30" s="18" t="n">
        <f aca="false">E29/E23</f>
        <v>12.978899547929</v>
      </c>
      <c r="F30" s="18" t="n">
        <f aca="false">F29/F23</f>
        <v>13.833084677945</v>
      </c>
      <c r="G30" s="18" t="n">
        <f aca="false">G29/G23</f>
        <v>13.5414412718147</v>
      </c>
      <c r="H30" s="18" t="n">
        <f aca="false">H29/H23</f>
        <v>15.1316706476427</v>
      </c>
      <c r="I30" s="18" t="n">
        <f aca="false">I29/I23</f>
        <v>16.3493985394328</v>
      </c>
      <c r="J30" s="18" t="n">
        <f aca="false">J29/J23</f>
        <v>15.7909600798325</v>
      </c>
      <c r="K30" s="18" t="n">
        <f aca="false">K29/K23</f>
        <v>16.0689856303295</v>
      </c>
      <c r="L30" s="18" t="n">
        <f aca="false">L29/L23</f>
        <v>15.7336748516054</v>
      </c>
      <c r="M30" s="18" t="n">
        <f aca="false">M29/M23</f>
        <v>14.0380562348464</v>
      </c>
      <c r="N30" s="18" t="n">
        <f aca="false">N29/N23</f>
        <v>13.5563179894137</v>
      </c>
      <c r="O30" s="143" t="n">
        <f aca="false">O29/O23</f>
        <v>14.4500212744535</v>
      </c>
    </row>
  </sheetData>
  <mergeCells count="8">
    <mergeCell ref="A1:O1"/>
    <mergeCell ref="A16:B16"/>
    <mergeCell ref="A18:O18"/>
    <mergeCell ref="A23:B23"/>
    <mergeCell ref="A24:B24"/>
    <mergeCell ref="A26:B26"/>
    <mergeCell ref="A27:A28"/>
    <mergeCell ref="A29:A30"/>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1"/>
  <sheetViews>
    <sheetView showFormulas="false" showGridLines="true" showRowColHeaders="true" showZeros="true" rightToLeft="false" tabSelected="false" showOutlineSymbols="true" defaultGridColor="true" view="normal" topLeftCell="A1" colorId="64" zoomScale="140" zoomScaleNormal="140" zoomScalePageLayoutView="100" workbookViewId="0">
      <selection pane="topLeft" activeCell="A1" activeCellId="0" sqref="A1"/>
    </sheetView>
  </sheetViews>
  <sheetFormatPr defaultColWidth="11" defaultRowHeight="15.75" zeroHeight="false" outlineLevelRow="0" outlineLevelCol="0"/>
  <cols>
    <col collapsed="false" customWidth="true" hidden="false" outlineLevel="0" max="1" min="1" style="0" width="18.37"/>
    <col collapsed="false" customWidth="true" hidden="false" outlineLevel="0" max="4" min="4" style="0" width="12"/>
    <col collapsed="false" customWidth="true" hidden="false" outlineLevel="0" max="5" min="5" style="0" width="11.63"/>
    <col collapsed="false" customWidth="true" hidden="false" outlineLevel="0" max="8" min="8" style="0" width="19.5"/>
  </cols>
  <sheetData>
    <row r="1" customFormat="false" ht="15.75" hidden="false" customHeight="false" outlineLevel="0" collapsed="false">
      <c r="A1" s="89"/>
      <c r="B1" s="89" t="s">
        <v>254</v>
      </c>
      <c r="C1" s="89" t="s">
        <v>255</v>
      </c>
      <c r="D1" s="89" t="s">
        <v>256</v>
      </c>
      <c r="E1" s="89" t="s">
        <v>257</v>
      </c>
      <c r="F1" s="89" t="s">
        <v>258</v>
      </c>
      <c r="G1" s="89" t="s">
        <v>245</v>
      </c>
      <c r="H1" s="89" t="s">
        <v>259</v>
      </c>
    </row>
    <row r="2" customFormat="false" ht="15.75" hidden="false" customHeight="false" outlineLevel="0" collapsed="false">
      <c r="A2" s="89" t="s">
        <v>260</v>
      </c>
      <c r="B2" s="90" t="s">
        <v>261</v>
      </c>
      <c r="C2" s="90"/>
      <c r="D2" s="90"/>
      <c r="E2" s="90"/>
      <c r="F2" s="90"/>
      <c r="G2" s="90"/>
      <c r="H2" s="90"/>
    </row>
    <row r="3" customFormat="false" ht="15.75" hidden="false" customHeight="false" outlineLevel="0" collapsed="false">
      <c r="A3" s="89" t="s">
        <v>262</v>
      </c>
      <c r="B3" s="90"/>
      <c r="C3" s="90"/>
      <c r="D3" s="90"/>
      <c r="E3" s="90"/>
      <c r="F3" s="90"/>
      <c r="G3" s="90"/>
      <c r="H3" s="90" t="s">
        <v>261</v>
      </c>
    </row>
    <row r="4" customFormat="false" ht="15.75" hidden="false" customHeight="false" outlineLevel="0" collapsed="false">
      <c r="A4" s="89" t="s">
        <v>263</v>
      </c>
      <c r="B4" s="90"/>
      <c r="C4" s="90"/>
      <c r="D4" s="90"/>
      <c r="E4" s="90"/>
      <c r="F4" s="90"/>
      <c r="G4" s="90" t="s">
        <v>261</v>
      </c>
      <c r="H4" s="90"/>
    </row>
    <row r="5" customFormat="false" ht="15.75" hidden="false" customHeight="false" outlineLevel="0" collapsed="false">
      <c r="A5" s="89" t="s">
        <v>264</v>
      </c>
      <c r="B5" s="90"/>
      <c r="C5" s="90"/>
      <c r="D5" s="90"/>
      <c r="E5" s="90"/>
      <c r="F5" s="90" t="s">
        <v>261</v>
      </c>
      <c r="G5" s="90"/>
      <c r="H5" s="90"/>
    </row>
    <row r="6" customFormat="false" ht="15.75" hidden="false" customHeight="false" outlineLevel="0" collapsed="false">
      <c r="A6" s="89" t="s">
        <v>265</v>
      </c>
      <c r="B6" s="90"/>
      <c r="C6" s="90" t="s">
        <v>261</v>
      </c>
      <c r="D6" s="90"/>
      <c r="E6" s="90"/>
      <c r="F6" s="90"/>
      <c r="G6" s="90"/>
      <c r="H6" s="90"/>
    </row>
    <row r="7" customFormat="false" ht="15.75" hidden="false" customHeight="false" outlineLevel="0" collapsed="false">
      <c r="A7" s="89" t="s">
        <v>266</v>
      </c>
      <c r="B7" s="90"/>
      <c r="C7" s="90"/>
      <c r="D7" s="90" t="s">
        <v>261</v>
      </c>
      <c r="E7" s="90"/>
      <c r="F7" s="90"/>
      <c r="G7" s="90"/>
      <c r="H7" s="90"/>
    </row>
    <row r="8" customFormat="false" ht="15.75" hidden="false" customHeight="false" outlineLevel="0" collapsed="false">
      <c r="A8" s="89" t="s">
        <v>267</v>
      </c>
      <c r="B8" s="90"/>
      <c r="C8" s="90" t="s">
        <v>261</v>
      </c>
      <c r="D8" s="90" t="s">
        <v>261</v>
      </c>
      <c r="E8" s="90"/>
      <c r="F8" s="90"/>
      <c r="G8" s="90"/>
      <c r="H8" s="90"/>
    </row>
    <row r="9" customFormat="false" ht="15.75" hidden="false" customHeight="false" outlineLevel="0" collapsed="false">
      <c r="A9" s="89" t="s">
        <v>268</v>
      </c>
      <c r="B9" s="90"/>
      <c r="C9" s="90" t="s">
        <v>261</v>
      </c>
      <c r="D9" s="90"/>
      <c r="E9" s="90"/>
      <c r="F9" s="90"/>
      <c r="G9" s="90"/>
      <c r="H9" s="90"/>
    </row>
    <row r="10" customFormat="false" ht="15.75" hidden="false" customHeight="false" outlineLevel="0" collapsed="false">
      <c r="A10" s="89" t="s">
        <v>269</v>
      </c>
      <c r="B10" s="90"/>
      <c r="C10" s="90"/>
      <c r="D10" s="90"/>
      <c r="E10" s="90" t="s">
        <v>261</v>
      </c>
      <c r="F10" s="90"/>
      <c r="G10" s="90"/>
      <c r="H10" s="90"/>
    </row>
    <row r="11" customFormat="false" ht="15.75" hidden="false" customHeight="false" outlineLevel="0" collapsed="false">
      <c r="B11" s="144"/>
      <c r="C11" s="144"/>
      <c r="D11" s="144"/>
      <c r="E11" s="144"/>
      <c r="F11" s="144"/>
      <c r="G11" s="144"/>
      <c r="H11" s="144"/>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2025-10-08T11:25:14Z</dcterms:created>
  <dc:creator>Leandro Leonardo Dantas Jordão</dc:creator>
  <dc:description/>
  <dc:language>pt-BR</dc:language>
  <cp:lastModifiedBy>Ricardo Bassoi</cp:lastModifiedBy>
  <dcterms:modified xsi:type="dcterms:W3CDTF">2025-12-20T17:37:52Z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